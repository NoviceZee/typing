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981be2f33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241b3caed154eb2"/>
    <x:sheet xmlns:r="http://schemas.openxmlformats.org/officeDocument/2006/relationships" name="Schedule" sheetId="2" r:id="Rdd5e209eda3a4634"/>
    <x:sheet xmlns:r="http://schemas.openxmlformats.org/officeDocument/2006/relationships" name="Batch summary" sheetId="3" r:id="Rb3a9f8646a994aed"/>
    <x:sheet xmlns:r="http://schemas.openxmlformats.org/officeDocument/2006/relationships" name="Validation" sheetId="4" r:id="R206c6c3e7267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83153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b/>
        <x:color rgb="FF176B3A"/>
      </x:font>
      <x:fill>
        <x:patternFill patternType="solid">
          <x:bgColor rgb="FFEA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b4c3c18b24c5d" /><Relationship Type="http://schemas.openxmlformats.org/officeDocument/2006/relationships/theme" Target="/xl/theme/theme1.xml" Id="R523a464bc9704f9e" /><Relationship Type="http://schemas.openxmlformats.org/officeDocument/2006/relationships/sharedStrings" Target="/xl/sharedStrings.xml" Id="R9249402982a24da9" /><Relationship Type="http://schemas.openxmlformats.org/officeDocument/2006/relationships/worksheet" Target="/xl/worksheets/sheet1.xml" Id="R2241b3caed154eb2" /><Relationship Type="http://schemas.openxmlformats.org/officeDocument/2006/relationships/worksheet" Target="/xl/worksheets/sheet2.xml" Id="Rdd5e209eda3a4634" /><Relationship Type="http://schemas.openxmlformats.org/officeDocument/2006/relationships/worksheet" Target="/xl/worksheets/sheet3.xml" Id="Rb3a9f8646a994aed" /><Relationship Type="http://schemas.openxmlformats.org/officeDocument/2006/relationships/worksheet" Target="/xl/worksheets/sheet4.xml" Id="R206c6c3e72674d97" /></Relationships>
</file>

<file path=xl/tables/table1.xml><?xml version="1.0" encoding="utf-8"?>
<x:table xmlns:x="http://schemas.openxmlformats.org/spreadsheetml/2006/main" id="1" name="CorpusV2BatchSchedule" displayName="CorpusV2BatchSchedule" ref="A1:K141" headerRowCount="1" totalsRowCount="0" totalsRowShown="0">
  <x:autoFilter ref="A1:K141"/>
  <x:tableColumns count="11">
    <x:tableColumn id="1" name="Batch"/>
    <x:tableColumn id="2" name="Sequence"/>
    <x:tableColumn id="3" name="Brief ID"/>
    <x:tableColumn id="4" name="Category"/>
    <x:tableColumn id="5" name="Topic"/>
    <x:tableColumn id="6" name="Disposition"/>
    <x:tableColumn id="7" name="Length tier"/>
    <x:tableColumn id="8" name="Difficulty"/>
    <x:tableColumn id="9" name="Structural direction"/>
    <x:tableColumn id="10" name="Existing title / NEW"/>
    <x:tableColumn id="11" name="Specific subje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V2BatchSummary" displayName="CorpusV2BatchSummary" ref="A3:P13" headerRowCount="1" totalsRowCount="0" totalsRowShown="0">
  <x:tableColumns count="16">
    <x:tableColumn id="1" name="Batch"/>
    <x:tableColumn id="2" name="Total"/>
    <x:tableColumn id="3" name="Topics"/>
    <x:tableColumn id="4" name="NEW"/>
    <x:tableColumn id="5" name="Rewrite"/>
    <x:tableColumn id="6" name="Expand"/>
    <x:tableColumn id="7" name="Reclassify"/>
    <x:tableColumn id="8" name="Compact"/>
    <x:tableColumn id="9" name="Standard"/>
    <x:tableColumn id="10" name="Extended"/>
    <x:tableColumn id="11" name="Accessible"/>
    <x:tableColumn id="12" name="Core"/>
    <x:tableColumn id="13" name="Challenging"/>
    <x:tableColumn id="14" name="Rare work"/>
    <x:tableColumn id="15" name="Topic pattern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a281aacffa46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1571091c4849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</x:cols>
  <x:sheetData>
    <x:row r="1" ht="34" customHeight="1">
      <x:c r="A1" s="2" t="str">
        <x:v>English Corpus v2 — Production Batch Schedule</x:v>
      </x:c>
      <x:c r="B1" s="2"/>
      <x:c r="C1" s="2"/>
      <x:c r="D1" s="2"/>
      <x:c r="E1" s="2"/>
      <x:c r="F1" s="2"/>
      <x:c r="G1" s="2"/>
      <x:c r="H1" s="2"/>
    </x:row>
    <x:row r="3" ht="30" customHeight="1">
      <x:c r="A3" s="4" t="str">
        <x:v>Purpose</x:v>
      </x:c>
      <x:c r="B3" s="6" t="str">
        <x:v>Production sequencing only; the locked Manifest is not modified</x:v>
      </x:c>
    </x:row>
    <x:row r="4" ht="30" customHeight="1">
      <x:c r="A4" s="4" t="str">
        <x:v>Batches</x:v>
      </x:c>
      <x:c r="B4" s="6" t="n">
        <x:v>10</x:v>
      </x:c>
    </x:row>
    <x:row r="5" ht="30" customHeight="1">
      <x:c r="A5" s="4" t="str">
        <x:v>Passages per batch</x:v>
      </x:c>
      <x:c r="B5" s="6" t="n">
        <x:v>14</x:v>
      </x:c>
    </x:row>
    <x:row r="6" ht="30" customHeight="1">
      <x:c r="A6" s="4" t="str">
        <x:v>Per-category allocation</x:v>
      </x:c>
      <x:c r="B6" s="6" t="str">
        <x:v>Exactly 2 from each of 7 Categories per batch</x:v>
      </x:c>
    </x:row>
    <x:row r="7" ht="30" customHeight="1">
      <x:c r="A7" s="4" t="str">
        <x:v>Topic coverage</x:v>
      </x:c>
      <x:c r="B7" s="6" t="str">
        <x:v>All 10 Topics represented in every batch</x:v>
      </x:c>
    </x:row>
    <x:row r="8" ht="30" customHeight="1">
      <x:c r="A8" s="4" t="str">
        <x:v>Cell separation</x:v>
      </x:c>
      <x:c r="B8" s="6" t="str">
        <x:v>The two briefs in every Category × Topic cell are in different batches</x:v>
      </x:c>
    </x:row>
    <x:row r="9" ht="30" customHeight="1">
      <x:c r="A9" s="4" t="str">
        <x:v>Batch 1</x:v>
      </x:c>
      <x:c r="B9" s="6" t="str">
        <x:v>The 14 Brief IDs explicitly approved by the user</x:v>
      </x:c>
    </x:row>
    <x:row r="10" ht="30" customHeight="1">
      <x:c r="A10" s="4" t="str">
        <x:v>Balancing</x:v>
      </x:c>
      <x:c r="B10" s="6" t="str">
        <x:v>Disposition, length and difficulty minimised by deterministic optimisation</x:v>
      </x:c>
    </x:row>
    <x:row r="11" ht="30" customHeight="1">
      <x:c r="A11" s="4" t="str">
        <x:v>Precedence</x:v>
      </x:c>
      <x:c r="B11" s="6" t="str">
        <x:v>This schedule never changes a brief, quota, taxonomy or editorial assignment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31" hidden="0" customWidth="1"/>
    <x:col min="5" max="5" width="36" hidden="0" customWidth="1"/>
    <x:col min="6" max="6" width="20" hidden="0" customWidth="1"/>
    <x:col min="7" max="7" width="14" hidden="0" customWidth="1"/>
    <x:col min="8" max="8" width="15" hidden="0" customWidth="1"/>
    <x:col min="9" max="9" width="32" hidden="0" customWidth="1"/>
    <x:col min="10" max="10" width="44" hidden="0" customWidth="1"/>
    <x:col min="11" max="11" width="55" hidden="0" customWidth="1"/>
  </x:cols>
  <x:sheetData>
    <x:row r="1" ht="34" customHeight="1">
      <x:c r="A1" s="8" t="str">
        <x:v>Batch</x:v>
      </x:c>
      <x:c r="B1" s="8" t="str">
        <x:v>Sequence</x:v>
      </x:c>
      <x:c r="C1" s="8" t="str">
        <x:v>Brief ID</x:v>
      </x:c>
      <x:c r="D1" s="8" t="str">
        <x:v>Category</x:v>
      </x:c>
      <x:c r="E1" s="8" t="str">
        <x:v>Topic</x:v>
      </x:c>
      <x:c r="F1" s="8" t="str">
        <x:v>Disposition</x:v>
      </x:c>
      <x:c r="G1" s="8" t="str">
        <x:v>Length tier</x:v>
      </x:c>
      <x:c r="H1" s="8" t="str">
        <x:v>Difficulty</x:v>
      </x:c>
      <x:c r="I1" s="8" t="str">
        <x:v>Structural direction</x:v>
      </x:c>
      <x:c r="J1" s="8" t="str">
        <x:v>Existing title / NEW</x:v>
      </x:c>
      <x:c r="K1" s="8" t="str">
        <x:v>Specific subject</x:v>
      </x:c>
    </x:row>
    <x:row r="2" ht="40" customHeight="1">
      <x:c r="A2" s="10" t="n">
        <x:v>1</x:v>
      </x:c>
      <x:c r="B2" s="10" t="n">
        <x:v>1</x:v>
      </x:c>
      <x:c r="C2" s="10" t="str">
        <x:v>ECV2-ART-001</x:v>
      </x:c>
      <x:c r="D2" s="11" t="str">
        <x:v>Articles</x:v>
      </x:c>
      <x:c r="E2" s="11" t="str">
        <x:v>Work &amp; organisations</x:v>
      </x:c>
      <x:c r="F2" s="11" t="str">
        <x:v>NEW</x:v>
      </x:c>
      <x:c r="G2" s="11" t="str">
        <x:v>Standard</x:v>
      </x:c>
      <x:c r="H2" s="11" t="str">
        <x:v>Accessible</x:v>
      </x:c>
      <x:c r="I2" s="11" t="str">
        <x:v>Explainer</x:v>
      </x:c>
      <x:c r="J2" s="11" t="str">
        <x:v>NEW</x:v>
      </x:c>
      <x:c r="K2" s="11" t="str">
        <x:v>Why project handovers fail even when the documents are complete</x:v>
      </x:c>
    </x:row>
    <x:row r="3" ht="40" customHeight="1">
      <x:c r="A3" s="10" t="n">
        <x:v>1</x:v>
      </x:c>
      <x:c r="B3" s="10" t="n">
        <x:v>1</x:v>
      </x:c>
      <x:c r="C3" s="10" t="str">
        <x:v>ECV2-ART-011</x:v>
      </x:c>
      <x:c r="D3" s="11" t="str">
        <x:v>Articles</x:v>
      </x:c>
      <x:c r="E3" s="11" t="str">
        <x:v>Transport, housing &amp; places</x:v>
      </x:c>
      <x:c r="F3" s="11" t="str">
        <x:v>NEW</x:v>
      </x:c>
      <x:c r="G3" s="11" t="str">
        <x:v>Extended</x:v>
      </x:c>
      <x:c r="H3" s="11" t="str">
        <x:v>Core</x:v>
      </x:c>
      <x:c r="I3" s="11" t="str">
        <x:v>Analysis</x:v>
      </x:c>
      <x:c r="J3" s="11" t="str">
        <x:v>NEW</x:v>
      </x:c>
      <x:c r="K3" s="11" t="str">
        <x:v>Why reliable bus services need recovery time between journeys</x:v>
      </x:c>
    </x:row>
    <x:row r="4" ht="40" customHeight="1">
      <x:c r="A4" s="10" t="n">
        <x:v>1</x:v>
      </x:c>
      <x:c r="B4" s="10" t="n">
        <x:v>3</x:v>
      </x:c>
      <x:c r="C4" s="10" t="str">
        <x:v>ECV2-PER-003</x:v>
      </x:c>
      <x:c r="D4" s="11" t="str">
        <x:v>Personal writing</x:v>
      </x:c>
      <x:c r="E4" s="11" t="str">
        <x:v>Technology &amp; digital life</x:v>
      </x:c>
      <x:c r="F4" s="11" t="str">
        <x:v>Rewrite completely</x:v>
      </x:c>
      <x:c r="G4" s="11" t="str">
        <x:v>Standard</x:v>
      </x:c>
      <x:c r="H4" s="11" t="str">
        <x:v>Core</x:v>
      </x:c>
      <x:c r="I4" s="11" t="str">
        <x:v>Reflective essay</x:v>
      </x:c>
      <x:c r="J4" s="11" t="str">
        <x:v>Finding a Better Digital Balance</x:v>
      </x:c>
      <x:c r="K4" s="11" t="str">
        <x:v>Reclaiming attention from constant digital prompts</x:v>
      </x:c>
    </x:row>
    <x:row r="5" ht="40" customHeight="1">
      <x:c r="A5" s="10" t="n">
        <x:v>1</x:v>
      </x:c>
      <x:c r="B5" s="10" t="n">
        <x:v>3</x:v>
      </x:c>
      <x:c r="C5" s="10" t="str">
        <x:v>ECV2-PER-013</x:v>
      </x:c>
      <x:c r="D5" s="11" t="str">
        <x:v>Personal writing</x:v>
      </x:c>
      <x:c r="E5" s="11" t="str">
        <x:v>Money &amp; the economy</x:v>
      </x:c>
      <x:c r="F5" s="11" t="str">
        <x:v>NEW</x:v>
      </x:c>
      <x:c r="G5" s="11" t="str">
        <x:v>Compact</x:v>
      </x:c>
      <x:c r="H5" s="11" t="str">
        <x:v>Challenging</x:v>
      </x:c>
      <x:c r="I5" s="11" t="str">
        <x:v>Personal correspondence</x:v>
      </x:c>
      <x:c r="J5" s="11" t="str">
        <x:v>NEW</x:v>
      </x:c>
      <x:c r="K5" s="11" t="str">
        <x:v>A letter about changing the way two friends divide shared bills</x:v>
      </x:c>
    </x:row>
    <x:row r="6" ht="40" customHeight="1">
      <x:c r="A6" s="10" t="n">
        <x:v>1</x:v>
      </x:c>
      <x:c r="B6" s="10" t="n">
        <x:v>5</x:v>
      </x:c>
      <x:c r="C6" s="10" t="str">
        <x:v>ECV2-NEW-005</x:v>
      </x:c>
      <x:c r="D6" s="11" t="str">
        <x:v>News</x:v>
      </x:c>
      <x:c r="E6" s="11" t="str">
        <x:v>Health &amp; wellbeing</x:v>
      </x:c>
      <x:c r="F6" s="11" t="str">
        <x:v>NEW</x:v>
      </x:c>
      <x:c r="G6" s="11" t="str">
        <x:v>Compact</x:v>
      </x:c>
      <x:c r="H6" s="11" t="str">
        <x:v>Accessible</x:v>
      </x:c>
      <x:c r="I6" s="11" t="str">
        <x:v>Public-service report</x:v>
      </x:c>
      <x:c r="J6" s="11" t="str">
        <x:v>NEW</x:v>
      </x:c>
      <x:c r="K6" s="11" t="str">
        <x:v>Clinics extend evening vaccination appointments before winter</x:v>
      </x:c>
    </x:row>
    <x:row r="7" ht="40" customHeight="1">
      <x:c r="A7" s="10" t="n">
        <x:v>1</x:v>
      </x:c>
      <x:c r="B7" s="10" t="n">
        <x:v>5</x:v>
      </x:c>
      <x:c r="C7" s="10" t="str">
        <x:v>ECV2-NEW-015</x:v>
      </x:c>
      <x:c r="D7" s="11" t="str">
        <x:v>News</x:v>
      </x:c>
      <x:c r="E7" s="11" t="str">
        <x:v>Public services &amp; civic life</x:v>
      </x:c>
      <x:c r="F7" s="11" t="str">
        <x:v>NEW</x:v>
      </x:c>
      <x:c r="G7" s="11" t="str">
        <x:v>Standard</x:v>
      </x:c>
      <x:c r="H7" s="11" t="str">
        <x:v>Accessible</x:v>
      </x:c>
      <x:c r="I7" s="11" t="str">
        <x:v>Public-service report</x:v>
      </x:c>
      <x:c r="J7" s="11" t="str">
        <x:v>NEW</x:v>
      </x:c>
      <x:c r="K7" s="11" t="str">
        <x:v>A civic centre reopens after accessibility upgrades</x:v>
      </x:c>
    </x:row>
    <x:row r="8" ht="40" customHeight="1">
      <x:c r="A8" s="10" t="n">
        <x:v>1</x:v>
      </x:c>
      <x:c r="B8" s="10" t="n">
        <x:v>7</x:v>
      </x:c>
      <x:c r="C8" s="10" t="str">
        <x:v>ECV2-BUS-007</x:v>
      </x:c>
      <x:c r="D8" s="11" t="str">
        <x:v>Business communication</x:v>
      </x:c>
      <x:c r="E8" s="11" t="str">
        <x:v>Education &amp; learning</x:v>
      </x:c>
      <x:c r="F8" s="11" t="str">
        <x:v>NEW</x:v>
      </x:c>
      <x:c r="G8" s="11" t="str">
        <x:v>Compact</x:v>
      </x:c>
      <x:c r="H8" s="11" t="str">
        <x:v>Core</x:v>
      </x:c>
      <x:c r="I8" s="11" t="str">
        <x:v>Decision request</x:v>
      </x:c>
      <x:c r="J8" s="11" t="str">
        <x:v>NEW</x:v>
      </x:c>
      <x:c r="K8" s="11" t="str">
        <x:v>Seeking a decision on an apprenticeship training budget</x:v>
      </x:c>
    </x:row>
    <x:row r="9" ht="40" customHeight="1">
      <x:c r="A9" s="10" t="n">
        <x:v>1</x:v>
      </x:c>
      <x:c r="B9" s="10" t="n">
        <x:v>7</x:v>
      </x:c>
      <x:c r="C9" s="10" t="str">
        <x:v>ECV2-BUS-017</x:v>
      </x:c>
      <x:c r="D9" s="11" t="str">
        <x:v>Business communication</x:v>
      </x:c>
      <x:c r="E9" s="11" t="str">
        <x:v>Family, community &amp; relationships</x:v>
      </x:c>
      <x:c r="F9" s="11" t="str">
        <x:v>NEW</x:v>
      </x:c>
      <x:c r="G9" s="11" t="str">
        <x:v>Standard</x:v>
      </x:c>
      <x:c r="H9" s="11" t="str">
        <x:v>Challenging</x:v>
      </x:c>
      <x:c r="I9" s="11" t="str">
        <x:v>Risk escalation</x:v>
      </x:c>
      <x:c r="J9" s="11" t="str">
        <x:v>NEW</x:v>
      </x:c>
      <x:c r="K9" s="11" t="str">
        <x:v>Responding to an employee request for flexible care hours</x:v>
      </x:c>
    </x:row>
    <x:row r="10" ht="40" customHeight="1">
      <x:c r="A10" s="10" t="n">
        <x:v>1</x:v>
      </x:c>
      <x:c r="B10" s="10" t="n">
        <x:v>9</x:v>
      </x:c>
      <x:c r="C10" s="10" t="str">
        <x:v>ECV2-GOV-009</x:v>
      </x:c>
      <x:c r="D10" s="11" t="str">
        <x:v>Government &amp; public information</x:v>
      </x:c>
      <x:c r="E10" s="11" t="str">
        <x:v>Environment &amp; sustainability</x:v>
      </x:c>
      <x:c r="F10" s="11" t="str">
        <x:v>Rewrite completely</x:v>
      </x:c>
      <x:c r="G10" s="11" t="str">
        <x:v>Extended</x:v>
      </x:c>
      <x:c r="H10" s="11" t="str">
        <x:v>Challenging</x:v>
      </x:c>
      <x:c r="I10" s="11" t="str">
        <x:v>Policy brief</x:v>
      </x:c>
      <x:c r="J10" s="11" t="str">
        <x:v>Responsible Land Use for a Dense City</x:v>
      </x:c>
      <x:c r="K10" s="11" t="str">
        <x:v>A policy brief on balancing land uses in a dense city</x:v>
      </x:c>
    </x:row>
    <x:row r="11" ht="40" customHeight="1">
      <x:c r="A11" s="10" t="n">
        <x:v>1</x:v>
      </x:c>
      <x:c r="B11" s="10" t="n">
        <x:v>9</x:v>
      </x:c>
      <x:c r="C11" s="10" t="str">
        <x:v>ECV2-GOV-019</x:v>
      </x:c>
      <x:c r="D11" s="11" t="str">
        <x:v>Government &amp; public information</x:v>
      </x:c>
      <x:c r="E11" s="11" t="str">
        <x:v>Culture, leisure &amp; everyday life</x:v>
      </x:c>
      <x:c r="F11" s="11" t="str">
        <x:v>NEW</x:v>
      </x:c>
      <x:c r="G11" s="11" t="str">
        <x:v>Standard</x:v>
      </x:c>
      <x:c r="H11" s="11" t="str">
        <x:v>Core</x:v>
      </x:c>
      <x:c r="I11" s="11" t="str">
        <x:v>Consultation summary</x:v>
      </x:c>
      <x:c r="J11" s="11" t="str">
        <x:v>NEW</x:v>
      </x:c>
      <x:c r="K11" s="11" t="str">
        <x:v>Consultation findings on late-night venue licensing</x:v>
      </x:c>
    </x:row>
    <x:row r="12" ht="40" customHeight="1">
      <x:c r="A12" s="10" t="n">
        <x:v>1</x:v>
      </x:c>
      <x:c r="B12" s="10" t="n">
        <x:v>11</x:v>
      </x:c>
      <x:c r="C12" s="10" t="str">
        <x:v>ECV2-PRO-001</x:v>
      </x:c>
      <x:c r="D12" s="11" t="str">
        <x:v>Proposals &amp; tenders</x:v>
      </x:c>
      <x:c r="E12" s="11" t="str">
        <x:v>Work &amp; organisations</x:v>
      </x:c>
      <x:c r="F12" s="11" t="str">
        <x:v>Expand</x:v>
      </x:c>
      <x:c r="G12" s="11" t="str">
        <x:v>Standard</x:v>
      </x:c>
      <x:c r="H12" s="11" t="str">
        <x:v>Accessible</x:v>
      </x:c>
      <x:c r="I12" s="11" t="str">
        <x:v>Delivery methodology</x:v>
      </x:c>
      <x:c r="J12" s="11" t="str">
        <x:v>Designing a Reliable Process</x:v>
      </x:c>
      <x:c r="K12" s="11" t="str">
        <x:v>Designing a process whose controls remain visible at every stage</x:v>
      </x:c>
    </x:row>
    <x:row r="13" ht="40" customHeight="1">
      <x:c r="A13" s="10" t="n">
        <x:v>1</x:v>
      </x:c>
      <x:c r="B13" s="10" t="n">
        <x:v>11</x:v>
      </x:c>
      <x:c r="C13" s="10" t="str">
        <x:v>ECV2-PRO-011</x:v>
      </x:c>
      <x:c r="D13" s="11" t="str">
        <x:v>Proposals &amp; tenders</x:v>
      </x:c>
      <x:c r="E13" s="11" t="str">
        <x:v>Transport, housing &amp; places</x:v>
      </x:c>
      <x:c r="F13" s="11" t="str">
        <x:v>NEW</x:v>
      </x:c>
      <x:c r="G13" s="11" t="str">
        <x:v>Compact</x:v>
      </x:c>
      <x:c r="H13" s="11" t="str">
        <x:v>Accessible</x:v>
      </x:c>
      <x:c r="I13" s="11" t="str">
        <x:v>Executive summary</x:v>
      </x:c>
      <x:c r="J13" s="11" t="str">
        <x:v>NEW</x:v>
      </x:c>
      <x:c r="K13" s="11" t="str">
        <x:v>A neighbourhood cargo-bike delivery pilot</x:v>
      </x:c>
    </x:row>
    <x:row r="14" ht="40" customHeight="1">
      <x:c r="A14" s="10" t="n">
        <x:v>1</x:v>
      </x:c>
      <x:c r="B14" s="10" t="n">
        <x:v>13</x:v>
      </x:c>
      <x:c r="C14" s="10" t="str">
        <x:v>ECV2-LEG-003</x:v>
      </x:c>
      <x:c r="D14" s="11" t="str">
        <x:v>Legal &amp; contracts</x:v>
      </x:c>
      <x:c r="E14" s="11" t="str">
        <x:v>Technology &amp; digital life</x:v>
      </x:c>
      <x:c r="F14" s="11" t="str">
        <x:v>Rewrite completely</x:v>
      </x:c>
      <x:c r="G14" s="11" t="str">
        <x:v>Extended</x:v>
      </x:c>
      <x:c r="H14" s="11" t="str">
        <x:v>Challenging</x:v>
      </x:c>
      <x:c r="I14" s="11" t="str">
        <x:v>Responsibilities schedule</x:v>
      </x:c>
      <x:c r="J14" s="11" t="str">
        <x:v>Data Processing and Confidentiality Schedule</x:v>
      </x:c>
      <x:c r="K14" s="11" t="str">
        <x:v>A schedule governing data processing and confidentiality</x:v>
      </x:c>
    </x:row>
    <x:row r="15" ht="40" customHeight="1">
      <x:c r="A15" s="10" t="n">
        <x:v>1</x:v>
      </x:c>
      <x:c r="B15" s="10" t="n">
        <x:v>13</x:v>
      </x:c>
      <x:c r="C15" s="10" t="str">
        <x:v>ECV2-LEG-013</x:v>
      </x:c>
      <x:c r="D15" s="11" t="str">
        <x:v>Legal &amp; contracts</x:v>
      </x:c>
      <x:c r="E15" s="11" t="str">
        <x:v>Money &amp; the economy</x:v>
      </x:c>
      <x:c r="F15" s="11" t="str">
        <x:v>NEW</x:v>
      </x:c>
      <x:c r="G15" s="11" t="str">
        <x:v>Standard</x:v>
      </x:c>
      <x:c r="H15" s="11" t="str">
        <x:v>Challenging</x:v>
      </x:c>
      <x:c r="I15" s="11" t="str">
        <x:v>Procedural clause</x:v>
      </x:c>
      <x:c r="J15" s="11" t="str">
        <x:v>NEW</x:v>
      </x:c>
      <x:c r="K15" s="11" t="str">
        <x:v>A procedure for late-payment interest and disputed invoices</x:v>
      </x:c>
    </x:row>
    <x:row r="16" ht="40" customHeight="1">
      <x:c r="A16" s="10" t="n">
        <x:v>2</x:v>
      </x:c>
      <x:c r="B16" s="10" t="n">
        <x:v>1</x:v>
      </x:c>
      <x:c r="C16" s="10" t="str">
        <x:v>ECV2-ART-002</x:v>
      </x:c>
      <x:c r="D16" s="11" t="str">
        <x:v>Articles</x:v>
      </x:c>
      <x:c r="E16" s="11" t="str">
        <x:v>Work &amp; organisations</x:v>
      </x:c>
      <x:c r="F16" s="11" t="str">
        <x:v>NEW</x:v>
      </x:c>
      <x:c r="G16" s="11" t="str">
        <x:v>Standard</x:v>
      </x:c>
      <x:c r="H16" s="11" t="str">
        <x:v>Core</x:v>
      </x:c>
      <x:c r="I16" s="11" t="str">
        <x:v>Analysis</x:v>
      </x:c>
      <x:c r="J16" s="11" t="str">
        <x:v>NEW</x:v>
      </x:c>
      <x:c r="K16" s="11" t="str">
        <x:v>Why meeting-free blocks change team coordination</x:v>
      </x:c>
    </x:row>
    <x:row r="17" ht="40" customHeight="1">
      <x:c r="A17" s="10" t="n">
        <x:v>2</x:v>
      </x:c>
      <x:c r="B17" s="10" t="n">
        <x:v>1</x:v>
      </x:c>
      <x:c r="C17" s="10" t="str">
        <x:v>ECV2-ART-015</x:v>
      </x:c>
      <x:c r="D17" s="11" t="str">
        <x:v>Articles</x:v>
      </x:c>
      <x:c r="E17" s="11" t="str">
        <x:v>Public services &amp; civic life</x:v>
      </x:c>
      <x:c r="F17" s="11" t="str">
        <x:v>NEW</x:v>
      </x:c>
      <x:c r="G17" s="11" t="str">
        <x:v>Extended</x:v>
      </x:c>
      <x:c r="H17" s="11" t="str">
        <x:v>Core</x:v>
      </x:c>
      <x:c r="I17" s="11" t="str">
        <x:v>Feature</x:v>
      </x:c>
      <x:c r="J17" s="11" t="str">
        <x:v>NEW</x:v>
      </x:c>
      <x:c r="K17" s="11" t="str">
        <x:v>How consultation responses become public decisions</x:v>
      </x:c>
    </x:row>
    <x:row r="18" ht="40" customHeight="1">
      <x:c r="A18" s="10" t="n">
        <x:v>2</x:v>
      </x:c>
      <x:c r="B18" s="10" t="n">
        <x:v>3</x:v>
      </x:c>
      <x:c r="C18" s="10" t="str">
        <x:v>ECV2-PER-004</x:v>
      </x:c>
      <x:c r="D18" s="11" t="str">
        <x:v>Personal writing</x:v>
      </x:c>
      <x:c r="E18" s="11" t="str">
        <x:v>Technology &amp; digital life</x:v>
      </x:c>
      <x:c r="F18" s="11" t="str">
        <x:v>NEW</x:v>
      </x:c>
      <x:c r="G18" s="11" t="str">
        <x:v>Standard</x:v>
      </x:c>
      <x:c r="H18" s="11" t="str">
        <x:v>Challenging</x:v>
      </x:c>
      <x:c r="I18" s="11" t="str">
        <x:v>Place or travel vignette</x:v>
      </x:c>
      <x:c r="J18" s="11" t="str">
        <x:v>NEW</x:v>
      </x:c>
      <x:c r="K18" s="11" t="str">
        <x:v>The day I stopped following the map and found my own way</x:v>
      </x:c>
    </x:row>
    <x:row r="19" ht="40" customHeight="1">
      <x:c r="A19" s="10" t="n">
        <x:v>2</x:v>
      </x:c>
      <x:c r="B19" s="10" t="n">
        <x:v>3</x:v>
      </x:c>
      <x:c r="C19" s="10" t="str">
        <x:v>ECV2-PER-019</x:v>
      </x:c>
      <x:c r="D19" s="11" t="str">
        <x:v>Personal writing</x:v>
      </x:c>
      <x:c r="E19" s="11" t="str">
        <x:v>Culture, leisure &amp; everyday life</x:v>
      </x:c>
      <x:c r="F19" s="11" t="str">
        <x:v>Expand</x:v>
      </x:c>
      <x:c r="G19" s="11" t="str">
        <x:v>Compact</x:v>
      </x:c>
      <x:c r="H19" s="11" t="str">
        <x:v>Accessible</x:v>
      </x:c>
      <x:c r="I19" s="11" t="str">
        <x:v>Observational sketch</x:v>
      </x:c>
      <x:c r="J19" s="11" t="str">
        <x:v>Learning to Notice Small Details</x:v>
      </x:c>
      <x:c r="K19" s="11" t="str">
        <x:v>Learning to notice small improvements in an ordinary week</x:v>
      </x:c>
    </x:row>
    <x:row r="20" ht="40" customHeight="1">
      <x:c r="A20" s="10" t="n">
        <x:v>2</x:v>
      </x:c>
      <x:c r="B20" s="10" t="n">
        <x:v>5</x:v>
      </x:c>
      <x:c r="C20" s="10" t="str">
        <x:v>ECV2-NEW-014</x:v>
      </x:c>
      <x:c r="D20" s="11" t="str">
        <x:v>News</x:v>
      </x:c>
      <x:c r="E20" s="11" t="str">
        <x:v>Money &amp; the economy</x:v>
      </x:c>
      <x:c r="F20" s="11" t="str">
        <x:v>NEW</x:v>
      </x:c>
      <x:c r="G20" s="11" t="str">
        <x:v>Compact</x:v>
      </x:c>
      <x:c r="H20" s="11" t="str">
        <x:v>Challenging</x:v>
      </x:c>
      <x:c r="I20" s="11" t="str">
        <x:v>Straight report</x:v>
      </x:c>
      <x:c r="J20" s="11" t="str">
        <x:v>NEW</x:v>
      </x:c>
      <x:c r="K20" s="11" t="str">
        <x:v>Small firms gain a new route to challenge persistent late payment</x:v>
      </x:c>
    </x:row>
    <x:row r="21" ht="40" customHeight="1">
      <x:c r="A21" s="10" t="n">
        <x:v>2</x:v>
      </x:c>
      <x:c r="B21" s="10" t="n">
        <x:v>5</x:v>
      </x:c>
      <x:c r="C21" s="10" t="str">
        <x:v>ECV2-NEW-016</x:v>
      </x:c>
      <x:c r="D21" s="11" t="str">
        <x:v>News</x:v>
      </x:c>
      <x:c r="E21" s="11" t="str">
        <x:v>Public services &amp; civic life</x:v>
      </x:c>
      <x:c r="F21" s="11" t="str">
        <x:v>NEW</x:v>
      </x:c>
      <x:c r="G21" s="11" t="str">
        <x:v>Standard</x:v>
      </x:c>
      <x:c r="H21" s="11" t="str">
        <x:v>Accessible</x:v>
      </x:c>
      <x:c r="I21" s="11" t="str">
        <x:v>Public-service report</x:v>
      </x:c>
      <x:c r="J21" s="11" t="str">
        <x:v>NEW</x:v>
      </x:c>
      <x:c r="K21" s="11" t="str">
        <x:v>Election officials add weekend voter-registration sessions</x:v>
      </x:c>
    </x:row>
    <x:row r="22" ht="40" customHeight="1">
      <x:c r="A22" s="10" t="n">
        <x:v>2</x:v>
      </x:c>
      <x:c r="B22" s="10" t="n">
        <x:v>7</x:v>
      </x:c>
      <x:c r="C22" s="10" t="str">
        <x:v>ECV2-BUS-012</x:v>
      </x:c>
      <x:c r="D22" s="11" t="str">
        <x:v>Business communication</x:v>
      </x:c>
      <x:c r="E22" s="11" t="str">
        <x:v>Transport, housing &amp; places</x:v>
      </x:c>
      <x:c r="F22" s="11" t="str">
        <x:v>NEW</x:v>
      </x:c>
      <x:c r="G22" s="11" t="str">
        <x:v>Standard</x:v>
      </x:c>
      <x:c r="H22" s="11" t="str">
        <x:v>Core</x:v>
      </x:c>
      <x:c r="I22" s="11" t="str">
        <x:v>Decision request</x:v>
      </x:c>
      <x:c r="J22" s="11" t="str">
        <x:v>NEW</x:v>
      </x:c>
      <x:c r="K22" s="11" t="str">
        <x:v>Requesting approval for a revised delivery cut-off time</x:v>
      </x:c>
    </x:row>
    <x:row r="23" ht="40" customHeight="1">
      <x:c r="A23" s="10" t="n">
        <x:v>2</x:v>
      </x:c>
      <x:c r="B23" s="10" t="n">
        <x:v>7</x:v>
      </x:c>
      <x:c r="C23" s="10" t="str">
        <x:v>ECV2-BUS-018</x:v>
      </x:c>
      <x:c r="D23" s="11" t="str">
        <x:v>Business communication</x:v>
      </x:c>
      <x:c r="E23" s="11" t="str">
        <x:v>Family, community &amp; relationships</x:v>
      </x:c>
      <x:c r="F23" s="11" t="str">
        <x:v>NEW</x:v>
      </x:c>
      <x:c r="G23" s="11" t="str">
        <x:v>Standard</x:v>
      </x:c>
      <x:c r="H23" s="11" t="str">
        <x:v>Core</x:v>
      </x:c>
      <x:c r="I23" s="11" t="str">
        <x:v>Handover note</x:v>
      </x:c>
      <x:c r="J23" s="11" t="str">
        <x:v>NEW</x:v>
      </x:c>
      <x:c r="K23" s="11" t="str">
        <x:v>Handing over volunteer-leave arrangements before an absence</x:v>
      </x:c>
    </x:row>
    <x:row r="24" ht="40" customHeight="1">
      <x:c r="A24" s="10" t="n">
        <x:v>2</x:v>
      </x:c>
      <x:c r="B24" s="10" t="n">
        <x:v>9</x:v>
      </x:c>
      <x:c r="C24" s="10" t="str">
        <x:v>ECV2-GOV-005</x:v>
      </x:c>
      <x:c r="D24" s="11" t="str">
        <x:v>Government &amp; public information</x:v>
      </x:c>
      <x:c r="E24" s="11" t="str">
        <x:v>Health &amp; wellbeing</x:v>
      </x:c>
      <x:c r="F24" s="11" t="str">
        <x:v>Rewrite completely</x:v>
      </x:c>
      <x:c r="G24" s="11" t="str">
        <x:v>Extended</x:v>
      </x:c>
      <x:c r="H24" s="11" t="str">
        <x:v>Core</x:v>
      </x:c>
      <x:c r="I24" s="11" t="str">
        <x:v>Policy brief</x:v>
      </x:c>
      <x:c r="J24" s="11" t="str">
        <x:v>Preparing Public Services for an Ageing Population</x:v>
      </x:c>
      <x:c r="K24" s="11" t="str">
        <x:v>A policy brief on adapting public services to an ageing population</x:v>
      </x:c>
    </x:row>
    <x:row r="25" ht="40" customHeight="1">
      <x:c r="A25" s="10" t="n">
        <x:v>2</x:v>
      </x:c>
      <x:c r="B25" s="10" t="n">
        <x:v>9</x:v>
      </x:c>
      <x:c r="C25" s="10" t="str">
        <x:v>ECV2-GOV-012</x:v>
      </x:c>
      <x:c r="D25" s="11" t="str">
        <x:v>Government &amp; public information</x:v>
      </x:c>
      <x:c r="E25" s="11" t="str">
        <x:v>Transport, housing &amp; places</x:v>
      </x:c>
      <x:c r="F25" s="11" t="str">
        <x:v>NEW</x:v>
      </x:c>
      <x:c r="G25" s="11" t="str">
        <x:v>Standard</x:v>
      </x:c>
      <x:c r="H25" s="11" t="str">
        <x:v>Core</x:v>
      </x:c>
      <x:c r="I25" s="11" t="str">
        <x:v>Public notice</x:v>
      </x:c>
      <x:c r="J25" s="11" t="str">
        <x:v>NEW</x:v>
      </x:c>
      <x:c r="K25" s="11" t="str">
        <x:v>A public notice about a temporary pavement closure</x:v>
      </x:c>
    </x:row>
    <x:row r="26" ht="40" customHeight="1">
      <x:c r="A26" s="10" t="n">
        <x:v>2</x:v>
      </x:c>
      <x:c r="B26" s="10" t="n">
        <x:v>11</x:v>
      </x:c>
      <x:c r="C26" s="10" t="str">
        <x:v>ECV2-PRO-007</x:v>
      </x:c>
      <x:c r="D26" s="11" t="str">
        <x:v>Proposals &amp; tenders</x:v>
      </x:c>
      <x:c r="E26" s="11" t="str">
        <x:v>Education &amp; learning</x:v>
      </x:c>
      <x:c r="F26" s="11" t="str">
        <x:v>Rewrite completely</x:v>
      </x:c>
      <x:c r="G26" s="11" t="str">
        <x:v>Extended</x:v>
      </x:c>
      <x:c r="H26" s="11" t="str">
        <x:v>Core</x:v>
      </x:c>
      <x:c r="I26" s="11" t="str">
        <x:v>Executive summary</x:v>
      </x:c>
      <x:c r="J26" s="11" t="str">
        <x:v>Workforce Reskilling Partnership</x:v>
      </x:c>
      <x:c r="K26" s="11" t="str">
        <x:v>A reskilling partnership for experienced workers entering growing industries</x:v>
      </x:c>
    </x:row>
    <x:row r="27" ht="40" customHeight="1">
      <x:c r="A27" s="10" t="n">
        <x:v>2</x:v>
      </x:c>
      <x:c r="B27" s="10" t="n">
        <x:v>11</x:v>
      </x:c>
      <x:c r="C27" s="10" t="str">
        <x:v>ECV2-PRO-009</x:v>
      </x:c>
      <x:c r="D27" s="11" t="str">
        <x:v>Proposals &amp; tenders</x:v>
      </x:c>
      <x:c r="E27" s="11" t="str">
        <x:v>Environment &amp; sustainability</x:v>
      </x:c>
      <x:c r="F27" s="11" t="str">
        <x:v>Rewrite completely</x:v>
      </x:c>
      <x:c r="G27" s="11" t="str">
        <x:v>Extended</x:v>
      </x:c>
      <x:c r="H27" s="11" t="str">
        <x:v>Challenging</x:v>
      </x:c>
      <x:c r="I27" s="11" t="str">
        <x:v>Delivery methodology</x:v>
      </x:c>
      <x:c r="J27" s="11" t="str">
        <x:v>Circular Logistics and Recycling Service</x:v>
      </x:c>
      <x:c r="K27" s="11" t="str">
        <x:v>A city-wide circular logistics and recycling service</x:v>
      </x:c>
    </x:row>
    <x:row r="28" ht="40" customHeight="1">
      <x:c r="A28" s="10" t="n">
        <x:v>2</x:v>
      </x:c>
      <x:c r="B28" s="10" t="n">
        <x:v>13</x:v>
      </x:c>
      <x:c r="C28" s="10" t="str">
        <x:v>ECV2-LEG-012</x:v>
      </x:c>
      <x:c r="D28" s="11" t="str">
        <x:v>Legal &amp; contracts</x:v>
      </x:c>
      <x:c r="E28" s="11" t="str">
        <x:v>Transport, housing &amp; places</x:v>
      </x:c>
      <x:c r="F28" s="11" t="str">
        <x:v>NEW</x:v>
      </x:c>
      <x:c r="G28" s="11" t="str">
        <x:v>Compact</x:v>
      </x:c>
      <x:c r="H28" s="11" t="str">
        <x:v>Accessible</x:v>
      </x:c>
      <x:c r="I28" s="11" t="str">
        <x:v>Core clause</x:v>
      </x:c>
      <x:c r="J28" s="11" t="str">
        <x:v>NEW</x:v>
      </x:c>
      <x:c r="K28" s="11" t="str">
        <x:v>Passenger-assistance obligations for booked journeys</x:v>
      </x:c>
    </x:row>
    <x:row r="29" ht="40" customHeight="1">
      <x:c r="A29" s="10" t="n">
        <x:v>2</x:v>
      </x:c>
      <x:c r="B29" s="10" t="n">
        <x:v>13</x:v>
      </x:c>
      <x:c r="C29" s="10" t="str">
        <x:v>ECV2-LEG-020</x:v>
      </x:c>
      <x:c r="D29" s="11" t="str">
        <x:v>Legal &amp; contracts</x:v>
      </x:c>
      <x:c r="E29" s="11" t="str">
        <x:v>Culture, leisure &amp; everyday life</x:v>
      </x:c>
      <x:c r="F29" s="11" t="str">
        <x:v>NEW</x:v>
      </x:c>
      <x:c r="G29" s="11" t="str">
        <x:v>Standard</x:v>
      </x:c>
      <x:c r="H29" s="11" t="str">
        <x:v>Core</x:v>
      </x:c>
      <x:c r="I29" s="11" t="str">
        <x:v>Formal notice</x:v>
      </x:c>
      <x:c r="J29" s="11" t="str">
        <x:v>NEW</x:v>
      </x:c>
      <x:c r="K29" s="11" t="str">
        <x:v>A formal notice covering venue cancellation and damage</x:v>
      </x:c>
    </x:row>
    <x:row r="30" ht="40" customHeight="1">
      <x:c r="A30" s="10" t="n">
        <x:v>3</x:v>
      </x:c>
      <x:c r="B30" s="10" t="n">
        <x:v>1</x:v>
      </x:c>
      <x:c r="C30" s="10" t="str">
        <x:v>ECV2-ART-006</x:v>
      </x:c>
      <x:c r="D30" s="11" t="str">
        <x:v>Articles</x:v>
      </x:c>
      <x:c r="E30" s="11" t="str">
        <x:v>Health &amp; wellbeing</x:v>
      </x:c>
      <x:c r="F30" s="11" t="str">
        <x:v>NEW</x:v>
      </x:c>
      <x:c r="G30" s="11" t="str">
        <x:v>Standard</x:v>
      </x:c>
      <x:c r="H30" s="11" t="str">
        <x:v>Core</x:v>
      </x:c>
      <x:c r="I30" s="11" t="str">
        <x:v>Explainer</x:v>
      </x:c>
      <x:c r="J30" s="11" t="str">
        <x:v>NEW</x:v>
      </x:c>
      <x:c r="K30" s="11" t="str">
        <x:v>Why sleep routines drift after small changes</x:v>
      </x:c>
    </x:row>
    <x:row r="31" ht="40" customHeight="1">
      <x:c r="A31" s="10" t="n">
        <x:v>3</x:v>
      </x:c>
      <x:c r="B31" s="10" t="n">
        <x:v>1</x:v>
      </x:c>
      <x:c r="C31" s="10" t="str">
        <x:v>ECV2-ART-009</x:v>
      </x:c>
      <x:c r="D31" s="11" t="str">
        <x:v>Articles</x:v>
      </x:c>
      <x:c r="E31" s="11" t="str">
        <x:v>Environment &amp; sustainability</x:v>
      </x:c>
      <x:c r="F31" s="11" t="str">
        <x:v>NEW</x:v>
      </x:c>
      <x:c r="G31" s="11" t="str">
        <x:v>Extended</x:v>
      </x:c>
      <x:c r="H31" s="11" t="str">
        <x:v>Core</x:v>
      </x:c>
      <x:c r="I31" s="11" t="str">
        <x:v>Feature</x:v>
      </x:c>
      <x:c r="J31" s="11" t="str">
        <x:v>NEW</x:v>
      </x:c>
      <x:c r="K31" s="11" t="str">
        <x:v>What happens after household recycling leaves the kerb</x:v>
      </x:c>
    </x:row>
    <x:row r="32" ht="40" customHeight="1">
      <x:c r="A32" s="10" t="n">
        <x:v>3</x:v>
      </x:c>
      <x:c r="B32" s="10" t="n">
        <x:v>3</x:v>
      </x:c>
      <x:c r="C32" s="10" t="str">
        <x:v>ECV2-PER-007</x:v>
      </x:c>
      <x:c r="D32" s="11" t="str">
        <x:v>Personal writing</x:v>
      </x:c>
      <x:c r="E32" s="11" t="str">
        <x:v>Education &amp; learning</x:v>
      </x:c>
      <x:c r="F32" s="11" t="str">
        <x:v>Rewrite completely</x:v>
      </x:c>
      <x:c r="G32" s="11" t="str">
        <x:v>Standard</x:v>
      </x:c>
      <x:c r="H32" s="11" t="str">
        <x:v>Core</x:v>
      </x:c>
      <x:c r="I32" s="11" t="str">
        <x:v>Reflective essay</x:v>
      </x:c>
      <x:c r="J32" s="11" t="str">
        <x:v>Learning to Read Without Rushing</x:v>
      </x:c>
      <x:c r="K32" s="11" t="str">
        <x:v>Learning to read patiently instead of chasing page counts</x:v>
      </x:c>
    </x:row>
    <x:row r="33" ht="40" customHeight="1">
      <x:c r="A33" s="10" t="n">
        <x:v>3</x:v>
      </x:c>
      <x:c r="B33" s="10" t="n">
        <x:v>3</x:v>
      </x:c>
      <x:c r="C33" s="10" t="str">
        <x:v>ECV2-PER-014</x:v>
      </x:c>
      <x:c r="D33" s="11" t="str">
        <x:v>Personal writing</x:v>
      </x:c>
      <x:c r="E33" s="11" t="str">
        <x:v>Money &amp; the economy</x:v>
      </x:c>
      <x:c r="F33" s="11" t="str">
        <x:v>NEW</x:v>
      </x:c>
      <x:c r="G33" s="11" t="str">
        <x:v>Standard</x:v>
      </x:c>
      <x:c r="H33" s="11" t="str">
        <x:v>Challenging</x:v>
      </x:c>
      <x:c r="I33" s="11" t="str">
        <x:v>Personal narrative</x:v>
      </x:c>
      <x:c r="J33" s="11" t="str">
        <x:v>NEW</x:v>
      </x:c>
      <x:c r="K33" s="11" t="str">
        <x:v>Saving for an urgent repair without abandoning every small pleasure</x:v>
      </x:c>
    </x:row>
    <x:row r="34" ht="40" customHeight="1">
      <x:c r="A34" s="10" t="n">
        <x:v>3</x:v>
      </x:c>
      <x:c r="B34" s="10" t="n">
        <x:v>5</x:v>
      </x:c>
      <x:c r="C34" s="10" t="str">
        <x:v>ECV2-NEW-011</x:v>
      </x:c>
      <x:c r="D34" s="11" t="str">
        <x:v>News</x:v>
      </x:c>
      <x:c r="E34" s="11" t="str">
        <x:v>Transport, housing &amp; places</x:v>
      </x:c>
      <x:c r="F34" s="11" t="str">
        <x:v>Rewrite completely</x:v>
      </x:c>
      <x:c r="G34" s="11" t="str">
        <x:v>Standard</x:v>
      </x:c>
      <x:c r="H34" s="11" t="str">
        <x:v>Core</x:v>
      </x:c>
      <x:c r="I34" s="11" t="str">
        <x:v>Data-led report</x:v>
      </x:c>
      <x:c r="J34" s="11" t="str">
        <x:v>Rail Operator Publishes Reliability Recovery Plan</x:v>
      </x:c>
      <x:c r="K34" s="11" t="str">
        <x:v>A rail operator publishes milestones for restoring reliability</x:v>
      </x:c>
    </x:row>
    <x:row r="35" ht="40" customHeight="1">
      <x:c r="A35" s="10" t="n">
        <x:v>3</x:v>
      </x:c>
      <x:c r="B35" s="10" t="n">
        <x:v>5</x:v>
      </x:c>
      <x:c r="C35" s="10" t="str">
        <x:v>ECV2-NEW-018</x:v>
      </x:c>
      <x:c r="D35" s="11" t="str">
        <x:v>News</x:v>
      </x:c>
      <x:c r="E35" s="11" t="str">
        <x:v>Family, community &amp; relationships</x:v>
      </x:c>
      <x:c r="F35" s="11" t="str">
        <x:v>NEW</x:v>
      </x:c>
      <x:c r="G35" s="11" t="str">
        <x:v>Extended</x:v>
      </x:c>
      <x:c r="H35" s="11" t="str">
        <x:v>Core</x:v>
      </x:c>
      <x:c r="I35" s="11" t="str">
        <x:v>Follow-up report</x:v>
      </x:c>
      <x:c r="J35" s="11" t="str">
        <x:v>NEW</x:v>
      </x:c>
      <x:c r="K35" s="11" t="str">
        <x:v>A housing association opens a shared childcare room</x:v>
      </x:c>
    </x:row>
    <x:row r="36" ht="40" customHeight="1">
      <x:c r="A36" s="10" t="n">
        <x:v>3</x:v>
      </x:c>
      <x:c r="B36" s="10" t="n">
        <x:v>7</x:v>
      </x:c>
      <x:c r="C36" s="10" t="str">
        <x:v>ECV2-BUS-010</x:v>
      </x:c>
      <x:c r="D36" s="11" t="str">
        <x:v>Business communication</x:v>
      </x:c>
      <x:c r="E36" s="11" t="str">
        <x:v>Environment &amp; sustainability</x:v>
      </x:c>
      <x:c r="F36" s="11" t="str">
        <x:v>NEW</x:v>
      </x:c>
      <x:c r="G36" s="11" t="str">
        <x:v>Standard</x:v>
      </x:c>
      <x:c r="H36" s="11" t="str">
        <x:v>Challenging</x:v>
      </x:c>
      <x:c r="I36" s="11" t="str">
        <x:v>Progress update</x:v>
      </x:c>
      <x:c r="J36" s="11" t="str">
        <x:v>NEW</x:v>
      </x:c>
      <x:c r="K36" s="11" t="str">
        <x:v>Reporting progress against an office energy-reduction target</x:v>
      </x:c>
    </x:row>
    <x:row r="37" ht="40" customHeight="1">
      <x:c r="A37" s="10" t="n">
        <x:v>3</x:v>
      </x:c>
      <x:c r="B37" s="10" t="n">
        <x:v>7</x:v>
      </x:c>
      <x:c r="C37" s="10" t="str">
        <x:v>ECV2-BUS-014</x:v>
      </x:c>
      <x:c r="D37" s="11" t="str">
        <x:v>Business communication</x:v>
      </x:c>
      <x:c r="E37" s="11" t="str">
        <x:v>Money &amp; the economy</x:v>
      </x:c>
      <x:c r="F37" s="11" t="str">
        <x:v>NEW</x:v>
      </x:c>
      <x:c r="G37" s="11" t="str">
        <x:v>Standard</x:v>
      </x:c>
      <x:c r="H37" s="11" t="str">
        <x:v>Accessible</x:v>
      </x:c>
      <x:c r="I37" s="11" t="str">
        <x:v>Customer or stakeholder response</x:v>
      </x:c>
      <x:c r="J37" s="11" t="str">
        <x:v>NEW</x:v>
      </x:c>
      <x:c r="K37" s="11" t="str">
        <x:v>Explaining a corrected invoice after a duplicate charge</x:v>
      </x:c>
    </x:row>
    <x:row r="38" ht="40" customHeight="1">
      <x:c r="A38" s="10" t="n">
        <x:v>3</x:v>
      </x:c>
      <x:c r="B38" s="10" t="n">
        <x:v>9</x:v>
      </x:c>
      <x:c r="C38" s="10" t="str">
        <x:v>ECV2-GOV-003</x:v>
      </x:c>
      <x:c r="D38" s="11" t="str">
        <x:v>Government &amp; public information</x:v>
      </x:c>
      <x:c r="E38" s="11" t="str">
        <x:v>Technology &amp; digital life</x:v>
      </x:c>
      <x:c r="F38" s="11" t="str">
        <x:v>Expand</x:v>
      </x:c>
      <x:c r="G38" s="11" t="str">
        <x:v>Standard</x:v>
      </x:c>
      <x:c r="H38" s="11" t="str">
        <x:v>Core</x:v>
      </x:c>
      <x:c r="I38" s="11" t="str">
        <x:v>Service guidance</x:v>
      </x:c>
      <x:c r="J38" s="11" t="str">
        <x:v>Keeping Digital Records Useful</x:v>
      </x:c>
      <x:c r="K38" s="11" t="str">
        <x:v>Guidance for keeping official digital records findable and trustworthy</x:v>
      </x:c>
    </x:row>
    <x:row r="39" ht="40" customHeight="1">
      <x:c r="A39" s="10" t="n">
        <x:v>3</x:v>
      </x:c>
      <x:c r="B39" s="10" t="n">
        <x:v>9</x:v>
      </x:c>
      <x:c r="C39" s="10" t="str">
        <x:v>ECV2-GOV-020</x:v>
      </x:c>
      <x:c r="D39" s="11" t="str">
        <x:v>Government &amp; public information</x:v>
      </x:c>
      <x:c r="E39" s="11" t="str">
        <x:v>Culture, leisure &amp; everyday life</x:v>
      </x:c>
      <x:c r="F39" s="11" t="str">
        <x:v>NEW</x:v>
      </x:c>
      <x:c r="G39" s="11" t="str">
        <x:v>Extended</x:v>
      </x:c>
      <x:c r="H39" s="11" t="str">
        <x:v>Challenging</x:v>
      </x:c>
      <x:c r="I39" s="11" t="str">
        <x:v>Formal report summary</x:v>
      </x:c>
      <x:c r="J39" s="11" t="str">
        <x:v>NEW</x:v>
      </x:c>
      <x:c r="K39" s="11" t="str">
        <x:v>A report summary on access to community arts facilities</x:v>
      </x:c>
    </x:row>
    <x:row r="40" ht="40" customHeight="1">
      <x:c r="A40" s="10" t="n">
        <x:v>3</x:v>
      </x:c>
      <x:c r="B40" s="10" t="n">
        <x:v>11</x:v>
      </x:c>
      <x:c r="C40" s="10" t="str">
        <x:v>ECV2-PRO-016</x:v>
      </x:c>
      <x:c r="D40" s="11" t="str">
        <x:v>Proposals &amp; tenders</x:v>
      </x:c>
      <x:c r="E40" s="11" t="str">
        <x:v>Public services &amp; civic life</x:v>
      </x:c>
      <x:c r="F40" s="11" t="str">
        <x:v>NEW</x:v>
      </x:c>
      <x:c r="G40" s="11" t="str">
        <x:v>Standard</x:v>
      </x:c>
      <x:c r="H40" s="11" t="str">
        <x:v>Core</x:v>
      </x:c>
      <x:c r="I40" s="11" t="str">
        <x:v>Implementation plan</x:v>
      </x:c>
      <x:c r="J40" s="11" t="str">
        <x:v>NEW</x:v>
      </x:c>
      <x:c r="K40" s="11" t="str">
        <x:v>A redesign of a one-stop permit application service</x:v>
      </x:c>
    </x:row>
    <x:row r="41" ht="40" customHeight="1">
      <x:c r="A41" s="10" t="n">
        <x:v>3</x:v>
      </x:c>
      <x:c r="B41" s="10" t="n">
        <x:v>11</x:v>
      </x:c>
      <x:c r="C41" s="10" t="str">
        <x:v>ECV2-PRO-018</x:v>
      </x:c>
      <x:c r="D41" s="11" t="str">
        <x:v>Proposals &amp; tenders</x:v>
      </x:c>
      <x:c r="E41" s="11" t="str">
        <x:v>Family, community &amp; relationships</x:v>
      </x:c>
      <x:c r="F41" s="11" t="str">
        <x:v>NEW</x:v>
      </x:c>
      <x:c r="G41" s="11" t="str">
        <x:v>Extended</x:v>
      </x:c>
      <x:c r="H41" s="11" t="str">
        <x:v>Core</x:v>
      </x:c>
      <x:c r="I41" s="11" t="str">
        <x:v>Risk and quality plan</x:v>
      </x:c>
      <x:c r="J41" s="11" t="str">
        <x:v>NEW</x:v>
      </x:c>
      <x:c r="K41" s="11" t="str">
        <x:v>A shared after-school care network</x:v>
      </x:c>
    </x:row>
    <x:row r="42" ht="40" customHeight="1">
      <x:c r="A42" s="10" t="n">
        <x:v>3</x:v>
      </x:c>
      <x:c r="B42" s="10" t="n">
        <x:v>13</x:v>
      </x:c>
      <x:c r="C42" s="10" t="str">
        <x:v>ECV2-LEG-001</x:v>
      </x:c>
      <x:c r="D42" s="11" t="str">
        <x:v>Legal &amp; contracts</x:v>
      </x:c>
      <x:c r="E42" s="11" t="str">
        <x:v>Work &amp; organisations</x:v>
      </x:c>
      <x:c r="F42" s="11" t="str">
        <x:v>Rewrite completely</x:v>
      </x:c>
      <x:c r="G42" s="11" t="str">
        <x:v>Compact</x:v>
      </x:c>
      <x:c r="H42" s="11" t="str">
        <x:v>Accessible</x:v>
      </x:c>
      <x:c r="I42" s="11" t="str">
        <x:v>Responsibilities schedule</x:v>
      </x:c>
      <x:c r="J42" s="11" t="str">
        <x:v>Workplace Safety Responsibilities</x:v>
      </x:c>
      <x:c r="K42" s="11" t="str">
        <x:v>Allocating safety responsibilities for contracted workplace activities</x:v>
      </x:c>
    </x:row>
    <x:row r="43" ht="40" customHeight="1">
      <x:c r="A43" s="10" t="n">
        <x:v>3</x:v>
      </x:c>
      <x:c r="B43" s="10" t="n">
        <x:v>13</x:v>
      </x:c>
      <x:c r="C43" s="10" t="str">
        <x:v>ECV2-LEG-007</x:v>
      </x:c>
      <x:c r="D43" s="11" t="str">
        <x:v>Legal &amp; contracts</x:v>
      </x:c>
      <x:c r="E43" s="11" t="str">
        <x:v>Education &amp; learning</x:v>
      </x:c>
      <x:c r="F43" s="11" t="str">
        <x:v>NEW</x:v>
      </x:c>
      <x:c r="G43" s="11" t="str">
        <x:v>Compact</x:v>
      </x:c>
      <x:c r="H43" s="11" t="str">
        <x:v>Accessible</x:v>
      </x:c>
      <x:c r="I43" s="11" t="str">
        <x:v>Core clause</x:v>
      </x:c>
      <x:c r="J43" s="11" t="str">
        <x:v>NEW</x:v>
      </x:c>
      <x:c r="K43" s="11" t="str">
        <x:v>Confidentiality obligations for student work placements</x:v>
      </x:c>
    </x:row>
    <x:row r="44" ht="40" customHeight="1">
      <x:c r="A44" s="10" t="n">
        <x:v>4</x:v>
      </x:c>
      <x:c r="B44" s="10" t="n">
        <x:v>1</x:v>
      </x:c>
      <x:c r="C44" s="10" t="str">
        <x:v>ECV2-ART-004</x:v>
      </x:c>
      <x:c r="D44" s="11" t="str">
        <x:v>Articles</x:v>
      </x:c>
      <x:c r="E44" s="11" t="str">
        <x:v>Technology &amp; digital life</x:v>
      </x:c>
      <x:c r="F44" s="11" t="str">
        <x:v>NEW</x:v>
      </x:c>
      <x:c r="G44" s="11" t="str">
        <x:v>Standard</x:v>
      </x:c>
      <x:c r="H44" s="11" t="str">
        <x:v>Challenging</x:v>
      </x:c>
      <x:c r="I44" s="11" t="str">
        <x:v>Analysis</x:v>
      </x:c>
      <x:c r="J44" s="11" t="str">
        <x:v>NEW</x:v>
      </x:c>
      <x:c r="K44" s="11" t="str">
        <x:v>How recommendation systems narrow everyday choices</x:v>
      </x:c>
    </x:row>
    <x:row r="45" ht="40" customHeight="1">
      <x:c r="A45" s="10" t="n">
        <x:v>4</x:v>
      </x:c>
      <x:c r="B45" s="10" t="n">
        <x:v>1</x:v>
      </x:c>
      <x:c r="C45" s="10" t="str">
        <x:v>ECV2-ART-014</x:v>
      </x:c>
      <x:c r="D45" s="11" t="str">
        <x:v>Articles</x:v>
      </x:c>
      <x:c r="E45" s="11" t="str">
        <x:v>Money &amp; the economy</x:v>
      </x:c>
      <x:c r="F45" s="11" t="str">
        <x:v>NEW</x:v>
      </x:c>
      <x:c r="G45" s="11" t="str">
        <x:v>Standard</x:v>
      </x:c>
      <x:c r="H45" s="11" t="str">
        <x:v>Accessible</x:v>
      </x:c>
      <x:c r="I45" s="11" t="str">
        <x:v>Practical guide</x:v>
      </x:c>
      <x:c r="J45" s="11" t="str">
        <x:v>NEW</x:v>
      </x:c>
      <x:c r="K45" s="11" t="str">
        <x:v>Why annual household costs defeat monthly budgets</x:v>
      </x:c>
    </x:row>
    <x:row r="46" ht="40" customHeight="1">
      <x:c r="A46" s="10" t="n">
        <x:v>4</x:v>
      </x:c>
      <x:c r="B46" s="10" t="n">
        <x:v>3</x:v>
      </x:c>
      <x:c r="C46" s="10" t="str">
        <x:v>ECV2-PER-005</x:v>
      </x:c>
      <x:c r="D46" s="11" t="str">
        <x:v>Personal writing</x:v>
      </x:c>
      <x:c r="E46" s="11" t="str">
        <x:v>Health &amp; wellbeing</x:v>
      </x:c>
      <x:c r="F46" s="11" t="str">
        <x:v>NEW</x:v>
      </x:c>
      <x:c r="G46" s="11" t="str">
        <x:v>Standard</x:v>
      </x:c>
      <x:c r="H46" s="11" t="str">
        <x:v>Core</x:v>
      </x:c>
      <x:c r="I46" s="11" t="str">
        <x:v>Personal narrative</x:v>
      </x:c>
      <x:c r="J46" s="11" t="str">
        <x:v>NEW</x:v>
      </x:c>
      <x:c r="K46" s="11" t="str">
        <x:v>Recovering confidence after a minor physical injury</x:v>
      </x:c>
    </x:row>
    <x:row r="47" ht="40" customHeight="1">
      <x:c r="A47" s="10" t="n">
        <x:v>4</x:v>
      </x:c>
      <x:c r="B47" s="10" t="n">
        <x:v>3</x:v>
      </x:c>
      <x:c r="C47" s="10" t="str">
        <x:v>ECV2-PER-009</x:v>
      </x:c>
      <x:c r="D47" s="11" t="str">
        <x:v>Personal writing</x:v>
      </x:c>
      <x:c r="E47" s="11" t="str">
        <x:v>Environment &amp; sustainability</x:v>
      </x:c>
      <x:c r="F47" s="11" t="str">
        <x:v>NEW</x:v>
      </x:c>
      <x:c r="G47" s="11" t="str">
        <x:v>Compact</x:v>
      </x:c>
      <x:c r="H47" s="11" t="str">
        <x:v>Accessible</x:v>
      </x:c>
      <x:c r="I47" s="11" t="str">
        <x:v>Observational sketch</x:v>
      </x:c>
      <x:c r="J47" s="11" t="str">
        <x:v>NEW</x:v>
      </x:c>
      <x:c r="K47" s="11" t="str">
        <x:v>A month of noticing the waste created by takeaway habits</x:v>
      </x:c>
    </x:row>
    <x:row r="48" ht="40" customHeight="1">
      <x:c r="A48" s="10" t="n">
        <x:v>4</x:v>
      </x:c>
      <x:c r="B48" s="10" t="n">
        <x:v>5</x:v>
      </x:c>
      <x:c r="C48" s="10" t="str">
        <x:v>ECV2-NEW-008</x:v>
      </x:c>
      <x:c r="D48" s="11" t="str">
        <x:v>News</x:v>
      </x:c>
      <x:c r="E48" s="11" t="str">
        <x:v>Education &amp; learning</x:v>
      </x:c>
      <x:c r="F48" s="11" t="str">
        <x:v>NEW</x:v>
      </x:c>
      <x:c r="G48" s="11" t="str">
        <x:v>Standard</x:v>
      </x:c>
      <x:c r="H48" s="11" t="str">
        <x:v>Core</x:v>
      </x:c>
      <x:c r="I48" s="11" t="str">
        <x:v>Interview-led report</x:v>
      </x:c>
      <x:c r="J48" s="11" t="str">
        <x:v>NEW</x:v>
      </x:c>
      <x:c r="K48" s="11" t="str">
        <x:v>Colleges add paid placements to technical courses</x:v>
      </x:c>
    </x:row>
    <x:row r="49" ht="40" customHeight="1">
      <x:c r="A49" s="10" t="n">
        <x:v>4</x:v>
      </x:c>
      <x:c r="B49" s="10" t="n">
        <x:v>5</x:v>
      </x:c>
      <x:c r="C49" s="10" t="str">
        <x:v>ECV2-NEW-010</x:v>
      </x:c>
      <x:c r="D49" s="11" t="str">
        <x:v>News</x:v>
      </x:c>
      <x:c r="E49" s="11" t="str">
        <x:v>Environment &amp; sustainability</x:v>
      </x:c>
      <x:c r="F49" s="11" t="str">
        <x:v>NEW</x:v>
      </x:c>
      <x:c r="G49" s="11" t="str">
        <x:v>Standard</x:v>
      </x:c>
      <x:c r="H49" s="11" t="str">
        <x:v>Challenging</x:v>
      </x:c>
      <x:c r="I49" s="11" t="str">
        <x:v>Follow-up report</x:v>
      </x:c>
      <x:c r="J49" s="11" t="str">
        <x:v>NEW</x:v>
      </x:c>
      <x:c r="K49" s="11" t="str">
        <x:v>A restored wetland reaches its first full breeding season</x:v>
      </x:c>
    </x:row>
    <x:row r="50" ht="40" customHeight="1">
      <x:c r="A50" s="10" t="n">
        <x:v>4</x:v>
      </x:c>
      <x:c r="B50" s="10" t="n">
        <x:v>7</x:v>
      </x:c>
      <x:c r="C50" s="10" t="str">
        <x:v>ECV2-BUS-002</x:v>
      </x:c>
      <x:c r="D50" s="11" t="str">
        <x:v>Business communication</x:v>
      </x:c>
      <x:c r="E50" s="11" t="str">
        <x:v>Work &amp; organisations</x:v>
      </x:c>
      <x:c r="F50" s="11" t="str">
        <x:v>Rewrite completely</x:v>
      </x:c>
      <x:c r="G50" s="11" t="str">
        <x:v>Compact</x:v>
      </x:c>
      <x:c r="H50" s="11" t="str">
        <x:v>Core</x:v>
      </x:c>
      <x:c r="I50" s="11" t="str">
        <x:v>Risk escalation</x:v>
      </x:c>
      <x:c r="J50" s="11" t="str">
        <x:v>Escalating a Service Risk Early</x:v>
      </x:c>
      <x:c r="K50" s="11" t="str">
        <x:v>Escalating an emerging service risk before it affects customers</x:v>
      </x:c>
    </x:row>
    <x:row r="51" ht="40" customHeight="1">
      <x:c r="A51" s="10" t="n">
        <x:v>4</x:v>
      </x:c>
      <x:c r="B51" s="10" t="n">
        <x:v>7</x:v>
      </x:c>
      <x:c r="C51" s="10" t="str">
        <x:v>ECV2-BUS-020</x:v>
      </x:c>
      <x:c r="D51" s="11" t="str">
        <x:v>Business communication</x:v>
      </x:c>
      <x:c r="E51" s="11" t="str">
        <x:v>Culture, leisure &amp; everyday life</x:v>
      </x:c>
      <x:c r="F51" s="11" t="str">
        <x:v>NEW</x:v>
      </x:c>
      <x:c r="G51" s="11" t="str">
        <x:v>Extended</x:v>
      </x:c>
      <x:c r="H51" s="11" t="str">
        <x:v>Core</x:v>
      </x:c>
      <x:c r="I51" s="11" t="str">
        <x:v>Handover note</x:v>
      </x:c>
      <x:c r="J51" s="11" t="str">
        <x:v>NEW</x:v>
      </x:c>
      <x:c r="K51" s="11" t="str">
        <x:v>Handing over a venue-booking account before festival season</x:v>
      </x:c>
    </x:row>
    <x:row r="52" ht="40" customHeight="1">
      <x:c r="A52" s="10" t="n">
        <x:v>4</x:v>
      </x:c>
      <x:c r="B52" s="10" t="n">
        <x:v>9</x:v>
      </x:c>
      <x:c r="C52" s="10" t="str">
        <x:v>ECV2-GOV-006</x:v>
      </x:c>
      <x:c r="D52" s="11" t="str">
        <x:v>Government &amp; public information</x:v>
      </x:c>
      <x:c r="E52" s="11" t="str">
        <x:v>Health &amp; wellbeing</x:v>
      </x:c>
      <x:c r="F52" s="11" t="str">
        <x:v>Rewrite completely</x:v>
      </x:c>
      <x:c r="G52" s="11" t="str">
        <x:v>Extended</x:v>
      </x:c>
      <x:c r="H52" s="11" t="str">
        <x:v>Core</x:v>
      </x:c>
      <x:c r="I52" s="11" t="str">
        <x:v>Formal report summary</x:v>
      </x:c>
      <x:c r="J52" s="11" t="str">
        <x:v>Strengthening Primary Healthcare Capacity</x:v>
      </x:c>
      <x:c r="K52" s="11" t="str">
        <x:v>A report summary on expanding primary healthcare capacity</x:v>
      </x:c>
    </x:row>
    <x:row r="53" ht="40" customHeight="1">
      <x:c r="A53" s="10" t="n">
        <x:v>4</x:v>
      </x:c>
      <x:c r="B53" s="10" t="n">
        <x:v>9</x:v>
      </x:c>
      <x:c r="C53" s="10" t="str">
        <x:v>ECV2-GOV-015</x:v>
      </x:c>
      <x:c r="D53" s="11" t="str">
        <x:v>Government &amp; public information</x:v>
      </x:c>
      <x:c r="E53" s="11" t="str">
        <x:v>Public services &amp; civic life</x:v>
      </x:c>
      <x:c r="F53" s="11" t="str">
        <x:v>Expand</x:v>
      </x:c>
      <x:c r="G53" s="11" t="str">
        <x:v>Compact</x:v>
      </x:c>
      <x:c r="H53" s="11" t="str">
        <x:v>Accessible</x:v>
      </x:c>
      <x:c r="I53" s="11" t="str">
        <x:v>Public notice</x:v>
      </x:c>
      <x:c r="J53" s="11" t="str">
        <x:v>A Better Public Notice</x:v>
      </x:c>
      <x:c r="K53" s="11" t="str">
        <x:v>A public notice that places essential actions and deadlines first</x:v>
      </x:c>
    </x:row>
    <x:row r="54" ht="40" customHeight="1">
      <x:c r="A54" s="10" t="n">
        <x:v>4</x:v>
      </x:c>
      <x:c r="B54" s="10" t="n">
        <x:v>11</x:v>
      </x:c>
      <x:c r="C54" s="10" t="str">
        <x:v>ECV2-PRO-017</x:v>
      </x:c>
      <x:c r="D54" s="11" t="str">
        <x:v>Proposals &amp; tenders</x:v>
      </x:c>
      <x:c r="E54" s="11" t="str">
        <x:v>Family, community &amp; relationships</x:v>
      </x:c>
      <x:c r="F54" s="11" t="str">
        <x:v>NEW</x:v>
      </x:c>
      <x:c r="G54" s="11" t="str">
        <x:v>Standard</x:v>
      </x:c>
      <x:c r="H54" s="11" t="str">
        <x:v>Core</x:v>
      </x:c>
      <x:c r="I54" s="11" t="str">
        <x:v>Requirements response</x:v>
      </x:c>
      <x:c r="J54" s="11" t="str">
        <x:v>NEW</x:v>
      </x:c>
      <x:c r="K54" s="11" t="str">
        <x:v>A weekend respite programme for family carers</x:v>
      </x:c>
    </x:row>
    <x:row r="55" ht="40" customHeight="1">
      <x:c r="A55" s="10" t="n">
        <x:v>4</x:v>
      </x:c>
      <x:c r="B55" s="10" t="n">
        <x:v>11</x:v>
      </x:c>
      <x:c r="C55" s="10" t="str">
        <x:v>ECV2-PRO-020</x:v>
      </x:c>
      <x:c r="D55" s="11" t="str">
        <x:v>Proposals &amp; tenders</x:v>
      </x:c>
      <x:c r="E55" s="11" t="str">
        <x:v>Culture, leisure &amp; everyday life</x:v>
      </x:c>
      <x:c r="F55" s="11" t="str">
        <x:v>NEW</x:v>
      </x:c>
      <x:c r="G55" s="11" t="str">
        <x:v>Extended</x:v>
      </x:c>
      <x:c r="H55" s="11" t="str">
        <x:v>Challenging</x:v>
      </x:c>
      <x:c r="I55" s="11" t="str">
        <x:v>Risk and quality plan</x:v>
      </x:c>
      <x:c r="J55" s="11" t="str">
        <x:v>NEW</x:v>
      </x:c>
      <x:c r="K55" s="11" t="str">
        <x:v>A community rehearsal-space booking platform</x:v>
      </x:c>
    </x:row>
    <x:row r="56" ht="40" customHeight="1">
      <x:c r="A56" s="10" t="n">
        <x:v>4</x:v>
      </x:c>
      <x:c r="B56" s="10" t="n">
        <x:v>13</x:v>
      </x:c>
      <x:c r="C56" s="10" t="str">
        <x:v>ECV2-LEG-011</x:v>
      </x:c>
      <x:c r="D56" s="11" t="str">
        <x:v>Legal &amp; contracts</x:v>
      </x:c>
      <x:c r="E56" s="11" t="str">
        <x:v>Transport, housing &amp; places</x:v>
      </x:c>
      <x:c r="F56" s="11" t="str">
        <x:v>Rewrite completely</x:v>
      </x:c>
      <x:c r="G56" s="11" t="str">
        <x:v>Standard</x:v>
      </x:c>
      <x:c r="H56" s="11" t="str">
        <x:v>Core</x:v>
      </x:c>
      <x:c r="I56" s="11" t="str">
        <x:v>Responsibilities schedule</x:v>
      </x:c>
      <x:c r="J56" s="11" t="str">
        <x:v>Residential Repair and Maintenance Terms</x:v>
      </x:c>
      <x:c r="K56" s="11" t="str">
        <x:v>Allocating residential repair and maintenance responsibilities</x:v>
      </x:c>
    </x:row>
    <x:row r="57" ht="40" customHeight="1">
      <x:c r="A57" s="10" t="n">
        <x:v>4</x:v>
      </x:c>
      <x:c r="B57" s="10" t="n">
        <x:v>13</x:v>
      </x:c>
      <x:c r="C57" s="10" t="str">
        <x:v>ECV2-LEG-014</x:v>
      </x:c>
      <x:c r="D57" s="11" t="str">
        <x:v>Legal &amp; contracts</x:v>
      </x:c>
      <x:c r="E57" s="11" t="str">
        <x:v>Money &amp; the economy</x:v>
      </x:c>
      <x:c r="F57" s="11" t="str">
        <x:v>NEW</x:v>
      </x:c>
      <x:c r="G57" s="11" t="str">
        <x:v>Standard</x:v>
      </x:c>
      <x:c r="H57" s="11" t="str">
        <x:v>Accessible</x:v>
      </x:c>
      <x:c r="I57" s="11" t="str">
        <x:v>Core clause</x:v>
      </x:c>
      <x:c r="J57" s="11" t="str">
        <x:v>NEW</x:v>
      </x:c>
      <x:c r="K57" s="11" t="str">
        <x:v>A core clause requiring segregation of client money</x:v>
      </x:c>
    </x:row>
    <x:row r="58" ht="40" customHeight="1">
      <x:c r="A58" s="10" t="n">
        <x:v>5</x:v>
      </x:c>
      <x:c r="B58" s="10" t="n">
        <x:v>1</x:v>
      </x:c>
      <x:c r="C58" s="10" t="str">
        <x:v>ECV2-ART-010</x:v>
      </x:c>
      <x:c r="D58" s="11" t="str">
        <x:v>Articles</x:v>
      </x:c>
      <x:c r="E58" s="11" t="str">
        <x:v>Environment &amp; sustainability</x:v>
      </x:c>
      <x:c r="F58" s="11" t="str">
        <x:v>NEW</x:v>
      </x:c>
      <x:c r="G58" s="11" t="str">
        <x:v>Extended</x:v>
      </x:c>
      <x:c r="H58" s="11" t="str">
        <x:v>Challenging</x:v>
      </x:c>
      <x:c r="I58" s="11" t="str">
        <x:v>Analysis</x:v>
      </x:c>
      <x:c r="J58" s="11" t="str">
        <x:v>NEW</x:v>
      </x:c>
      <x:c r="K58" s="11" t="str">
        <x:v>How urban trees reduce heat at street level</x:v>
      </x:c>
    </x:row>
    <x:row r="59" ht="40" customHeight="1">
      <x:c r="A59" s="10" t="n">
        <x:v>5</x:v>
      </x:c>
      <x:c r="B59" s="10" t="n">
        <x:v>1</x:v>
      </x:c>
      <x:c r="C59" s="10" t="str">
        <x:v>ECV2-ART-013</x:v>
      </x:c>
      <x:c r="D59" s="11" t="str">
        <x:v>Articles</x:v>
      </x:c>
      <x:c r="E59" s="11" t="str">
        <x:v>Money &amp; the economy</x:v>
      </x:c>
      <x:c r="F59" s="11" t="str">
        <x:v>NEW</x:v>
      </x:c>
      <x:c r="G59" s="11" t="str">
        <x:v>Standard</x:v>
      </x:c>
      <x:c r="H59" s="11" t="str">
        <x:v>Accessible</x:v>
      </x:c>
      <x:c r="I59" s="11" t="str">
        <x:v>Practical guide</x:v>
      </x:c>
      <x:c r="J59" s="11" t="str">
        <x:v>NEW</x:v>
      </x:c>
      <x:c r="K59" s="11" t="str">
        <x:v>How compound interest behaves when rates change</x:v>
      </x:c>
    </x:row>
    <x:row r="60" ht="40" customHeight="1">
      <x:c r="A60" s="10" t="n">
        <x:v>5</x:v>
      </x:c>
      <x:c r="B60" s="10" t="n">
        <x:v>3</x:v>
      </x:c>
      <x:c r="C60" s="10" t="str">
        <x:v>ECV2-PER-006</x:v>
      </x:c>
      <x:c r="D60" s="11" t="str">
        <x:v>Personal writing</x:v>
      </x:c>
      <x:c r="E60" s="11" t="str">
        <x:v>Health &amp; wellbeing</x:v>
      </x:c>
      <x:c r="F60" s="11" t="str">
        <x:v>NEW</x:v>
      </x:c>
      <x:c r="G60" s="11" t="str">
        <x:v>Extended</x:v>
      </x:c>
      <x:c r="H60" s="11" t="str">
        <x:v>Core</x:v>
      </x:c>
      <x:c r="I60" s="11" t="str">
        <x:v>Reflective essay</x:v>
      </x:c>
      <x:c r="J60" s="11" t="str">
        <x:v>NEW</x:v>
      </x:c>
      <x:c r="K60" s="11" t="str">
        <x:v>Cooking through a period when appetite disappeared</x:v>
      </x:c>
    </x:row>
    <x:row r="61" ht="40" customHeight="1">
      <x:c r="A61" s="10" t="n">
        <x:v>5</x:v>
      </x:c>
      <x:c r="B61" s="10" t="n">
        <x:v>3</x:v>
      </x:c>
      <x:c r="C61" s="10" t="str">
        <x:v>ECV2-PER-016</x:v>
      </x:c>
      <x:c r="D61" s="11" t="str">
        <x:v>Personal writing</x:v>
      </x:c>
      <x:c r="E61" s="11" t="str">
        <x:v>Public services &amp; civic life</x:v>
      </x:c>
      <x:c r="F61" s="11" t="str">
        <x:v>NEW</x:v>
      </x:c>
      <x:c r="G61" s="11" t="str">
        <x:v>Standard</x:v>
      </x:c>
      <x:c r="H61" s="11" t="str">
        <x:v>Challenging</x:v>
      </x:c>
      <x:c r="I61" s="11" t="str">
        <x:v>Personal correspondence</x:v>
      </x:c>
      <x:c r="J61" s="11" t="str">
        <x:v>NEW</x:v>
      </x:c>
      <x:c r="K61" s="11" t="str">
        <x:v>Writing after an unclear appointment letter caused a wasted clinic visit</x:v>
      </x:c>
    </x:row>
    <x:row r="62" ht="40" customHeight="1">
      <x:c r="A62" s="10" t="n">
        <x:v>5</x:v>
      </x:c>
      <x:c r="B62" s="10" t="n">
        <x:v>5</x:v>
      </x:c>
      <x:c r="C62" s="10" t="str">
        <x:v>ECV2-NEW-004</x:v>
      </x:c>
      <x:c r="D62" s="11" t="str">
        <x:v>News</x:v>
      </x:c>
      <x:c r="E62" s="11" t="str">
        <x:v>Technology &amp; digital life</x:v>
      </x:c>
      <x:c r="F62" s="11" t="str">
        <x:v>NEW</x:v>
      </x:c>
      <x:c r="G62" s="11" t="str">
        <x:v>Standard</x:v>
      </x:c>
      <x:c r="H62" s="11" t="str">
        <x:v>Core</x:v>
      </x:c>
      <x:c r="I62" s="11" t="str">
        <x:v>Follow-up report</x:v>
      </x:c>
      <x:c r="J62" s="11" t="str">
        <x:v>NEW</x:v>
      </x:c>
      <x:c r="K62" s="11" t="str">
        <x:v>A hospital network restores systems after a weekend outage</x:v>
      </x:c>
    </x:row>
    <x:row r="63" ht="40" customHeight="1">
      <x:c r="A63" s="10" t="n">
        <x:v>5</x:v>
      </x:c>
      <x:c r="B63" s="10" t="n">
        <x:v>5</x:v>
      </x:c>
      <x:c r="C63" s="10" t="str">
        <x:v>ECV2-NEW-012</x:v>
      </x:c>
      <x:c r="D63" s="11" t="str">
        <x:v>News</x:v>
      </x:c>
      <x:c r="E63" s="11" t="str">
        <x:v>Transport, housing &amp; places</x:v>
      </x:c>
      <x:c r="F63" s="11" t="str">
        <x:v>Reclassify</x:v>
      </x:c>
      <x:c r="G63" s="11" t="str">
        <x:v>Compact</x:v>
      </x:c>
      <x:c r="H63" s="11" t="str">
        <x:v>Accessible</x:v>
      </x:c>
      <x:c r="I63" s="11" t="str">
        <x:v>Straight report</x:v>
      </x:c>
      <x:c r="J63" s="11" t="str">
        <x:v>The Morning Ferry Service</x:v>
      </x:c>
      <x:c r="K63" s="11" t="str">
        <x:v>A trial adds an earlier ferry after commuter demand rises</x:v>
      </x:c>
    </x:row>
    <x:row r="64" ht="40" customHeight="1">
      <x:c r="A64" s="10" t="n">
        <x:v>5</x:v>
      </x:c>
      <x:c r="B64" s="10" t="n">
        <x:v>7</x:v>
      </x:c>
      <x:c r="C64" s="10" t="str">
        <x:v>ECV2-BUS-001</x:v>
      </x:c>
      <x:c r="D64" s="11" t="str">
        <x:v>Business communication</x:v>
      </x:c>
      <x:c r="E64" s="11" t="str">
        <x:v>Work &amp; organisations</x:v>
      </x:c>
      <x:c r="F64" s="11" t="str">
        <x:v>Rewrite completely</x:v>
      </x:c>
      <x:c r="G64" s="11" t="str">
        <x:v>Standard</x:v>
      </x:c>
      <x:c r="H64" s="11" t="str">
        <x:v>Core</x:v>
      </x:c>
      <x:c r="I64" s="11" t="str">
        <x:v>Handover note</x:v>
      </x:c>
      <x:c r="J64" s="11" t="str">
        <x:v>A Clear Project Handover</x:v>
      </x:c>
      <x:c r="K64" s="11" t="str">
        <x:v>Handing a complex project to a new delivery team</x:v>
      </x:c>
    </x:row>
    <x:row r="65" ht="40" customHeight="1">
      <x:c r="A65" s="10" t="n">
        <x:v>5</x:v>
      </x:c>
      <x:c r="B65" s="10" t="n">
        <x:v>7</x:v>
      </x:c>
      <x:c r="C65" s="10" t="str">
        <x:v>ECV2-BUS-019</x:v>
      </x:c>
      <x:c r="D65" s="11" t="str">
        <x:v>Business communication</x:v>
      </x:c>
      <x:c r="E65" s="11" t="str">
        <x:v>Culture, leisure &amp; everyday life</x:v>
      </x:c>
      <x:c r="F65" s="11" t="str">
        <x:v>Rewrite completely</x:v>
      </x:c>
      <x:c r="G65" s="11" t="str">
        <x:v>Compact</x:v>
      </x:c>
      <x:c r="H65" s="11" t="str">
        <x:v>Accessible</x:v>
      </x:c>
      <x:c r="I65" s="11" t="str">
        <x:v>Progress update</x:v>
      </x:c>
      <x:c r="J65" s="11" t="str">
        <x:v>Closing a Difficult Customer Complaint</x:v>
      </x:c>
      <x:c r="K65" s="11" t="str">
        <x:v>Closing a customer complaint after a documented service failure</x:v>
      </x:c>
    </x:row>
    <x:row r="66" ht="40" customHeight="1">
      <x:c r="A66" s="10" t="n">
        <x:v>5</x:v>
      </x:c>
      <x:c r="B66" s="10" t="n">
        <x:v>9</x:v>
      </x:c>
      <x:c r="C66" s="10" t="str">
        <x:v>ECV2-GOV-007</x:v>
      </x:c>
      <x:c r="D66" s="11" t="str">
        <x:v>Government &amp; public information</x:v>
      </x:c>
      <x:c r="E66" s="11" t="str">
        <x:v>Education &amp; learning</x:v>
      </x:c>
      <x:c r="F66" s="11" t="str">
        <x:v>NEW</x:v>
      </x:c>
      <x:c r="G66" s="11" t="str">
        <x:v>Standard</x:v>
      </x:c>
      <x:c r="H66" s="11" t="str">
        <x:v>Core</x:v>
      </x:c>
      <x:c r="I66" s="11" t="str">
        <x:v>Consultation summary</x:v>
      </x:c>
      <x:c r="J66" s="11" t="str">
        <x:v>NEW</x:v>
      </x:c>
      <x:c r="K66" s="11" t="str">
        <x:v>Consultation findings on adult literacy services</x:v>
      </x:c>
    </x:row>
    <x:row r="67" ht="40" customHeight="1">
      <x:c r="A67" s="10" t="n">
        <x:v>5</x:v>
      </x:c>
      <x:c r="B67" s="10" t="n">
        <x:v>9</x:v>
      </x:c>
      <x:c r="C67" s="10" t="str">
        <x:v>ECV2-GOV-013</x:v>
      </x:c>
      <x:c r="D67" s="11" t="str">
        <x:v>Government &amp; public information</x:v>
      </x:c>
      <x:c r="E67" s="11" t="str">
        <x:v>Money &amp; the economy</x:v>
      </x:c>
      <x:c r="F67" s="11" t="str">
        <x:v>Rewrite completely</x:v>
      </x:c>
      <x:c r="G67" s="11" t="str">
        <x:v>Extended</x:v>
      </x:c>
      <x:c r="H67" s="11" t="str">
        <x:v>Challenging</x:v>
      </x:c>
      <x:c r="I67" s="11" t="str">
        <x:v>Policy brief</x:v>
      </x:c>
      <x:c r="J67" s="11" t="str">
        <x:v>A Framework for Fiscal Sustainability</x:v>
      </x:c>
      <x:c r="K67" s="11" t="str">
        <x:v>A policy brief on long-term fiscal sustainability</x:v>
      </x:c>
    </x:row>
    <x:row r="68" ht="40" customHeight="1">
      <x:c r="A68" s="10" t="n">
        <x:v>5</x:v>
      </x:c>
      <x:c r="B68" s="10" t="n">
        <x:v>11</x:v>
      </x:c>
      <x:c r="C68" s="10" t="str">
        <x:v>ECV2-PRO-004</x:v>
      </x:c>
      <x:c r="D68" s="11" t="str">
        <x:v>Proposals &amp; tenders</x:v>
      </x:c>
      <x:c r="E68" s="11" t="str">
        <x:v>Technology &amp; digital life</x:v>
      </x:c>
      <x:c r="F68" s="11" t="str">
        <x:v>NEW</x:v>
      </x:c>
      <x:c r="G68" s="11" t="str">
        <x:v>Standard</x:v>
      </x:c>
      <x:c r="H68" s="11" t="str">
        <x:v>Accessible</x:v>
      </x:c>
      <x:c r="I68" s="11" t="str">
        <x:v>Delivery methodology</x:v>
      </x:c>
      <x:c r="J68" s="11" t="str">
        <x:v>NEW</x:v>
      </x:c>
      <x:c r="K68" s="11" t="str">
        <x:v>A secure digital archive for small charities</x:v>
      </x:c>
    </x:row>
    <x:row r="69" ht="40" customHeight="1">
      <x:c r="A69" s="10" t="n">
        <x:v>5</x:v>
      </x:c>
      <x:c r="B69" s="10" t="n">
        <x:v>11</x:v>
      </x:c>
      <x:c r="C69" s="10" t="str">
        <x:v>ECV2-PRO-019</x:v>
      </x:c>
      <x:c r="D69" s="11" t="str">
        <x:v>Proposals &amp; tenders</x:v>
      </x:c>
      <x:c r="E69" s="11" t="str">
        <x:v>Culture, leisure &amp; everyday life</x:v>
      </x:c>
      <x:c r="F69" s="11" t="str">
        <x:v>NEW</x:v>
      </x:c>
      <x:c r="G69" s="11" t="str">
        <x:v>Extended</x:v>
      </x:c>
      <x:c r="H69" s="11" t="str">
        <x:v>Core</x:v>
      </x:c>
      <x:c r="I69" s="11" t="str">
        <x:v>Risk and quality plan</x:v>
      </x:c>
      <x:c r="J69" s="11" t="str">
        <x:v>NEW</x:v>
      </x:c>
      <x:c r="K69" s="11" t="str">
        <x:v>A travelling local-history exhibition</x:v>
      </x:c>
    </x:row>
    <x:row r="70" ht="40" customHeight="1">
      <x:c r="A70" s="10" t="n">
        <x:v>5</x:v>
      </x:c>
      <x:c r="B70" s="10" t="n">
        <x:v>13</x:v>
      </x:c>
      <x:c r="C70" s="10" t="str">
        <x:v>ECV2-LEG-005</x:v>
      </x:c>
      <x:c r="D70" s="11" t="str">
        <x:v>Legal &amp; contracts</x:v>
      </x:c>
      <x:c r="E70" s="11" t="str">
        <x:v>Health &amp; wellbeing</x:v>
      </x:c>
      <x:c r="F70" s="11" t="str">
        <x:v>NEW</x:v>
      </x:c>
      <x:c r="G70" s="11" t="str">
        <x:v>Standard</x:v>
      </x:c>
      <x:c r="H70" s="11" t="str">
        <x:v>Core</x:v>
      </x:c>
      <x:c r="I70" s="11" t="str">
        <x:v>Compliance or remedy provision</x:v>
      </x:c>
      <x:c r="J70" s="11" t="str">
        <x:v>NEW</x:v>
      </x:c>
      <x:c r="K70" s="11" t="str">
        <x:v>Consent and records remedies for workplace health assessments</x:v>
      </x:c>
    </x:row>
    <x:row r="71" ht="40" customHeight="1">
      <x:c r="A71" s="10" t="n">
        <x:v>5</x:v>
      </x:c>
      <x:c r="B71" s="10" t="n">
        <x:v>13</x:v>
      </x:c>
      <x:c r="C71" s="10" t="str">
        <x:v>ECV2-LEG-018</x:v>
      </x:c>
      <x:c r="D71" s="11" t="str">
        <x:v>Legal &amp; contracts</x:v>
      </x:c>
      <x:c r="E71" s="11" t="str">
        <x:v>Family, community &amp; relationships</x:v>
      </x:c>
      <x:c r="F71" s="11" t="str">
        <x:v>NEW</x:v>
      </x:c>
      <x:c r="G71" s="11" t="str">
        <x:v>Standard</x:v>
      </x:c>
      <x:c r="H71" s="11" t="str">
        <x:v>Core</x:v>
      </x:c>
      <x:c r="I71" s="11" t="str">
        <x:v>Formal notice</x:v>
      </x:c>
      <x:c r="J71" s="11" t="str">
        <x:v>NEW</x:v>
      </x:c>
      <x:c r="K71" s="11" t="str">
        <x:v>A formal notice changing an authorised carer</x:v>
      </x:c>
    </x:row>
    <x:row r="72" ht="40" customHeight="1">
      <x:c r="A72" s="10" t="n">
        <x:v>6</x:v>
      </x:c>
      <x:c r="B72" s="10" t="n">
        <x:v>1</x:v>
      </x:c>
      <x:c r="C72" s="10" t="str">
        <x:v>ECV2-ART-005</x:v>
      </x:c>
      <x:c r="D72" s="11" t="str">
        <x:v>Articles</x:v>
      </x:c>
      <x:c r="E72" s="11" t="str">
        <x:v>Health &amp; wellbeing</x:v>
      </x:c>
      <x:c r="F72" s="11" t="str">
        <x:v>Reclassify</x:v>
      </x:c>
      <x:c r="G72" s="11" t="str">
        <x:v>Compact</x:v>
      </x:c>
      <x:c r="H72" s="11" t="str">
        <x:v>Accessible</x:v>
      </x:c>
      <x:c r="I72" s="11" t="str">
        <x:v>Practical guide</x:v>
      </x:c>
      <x:c r="J72" s="11" t="str">
        <x:v>The Useful Pause</x:v>
      </x:c>
      <x:c r="K72" s="11" t="str">
        <x:v>How a deliberate pause improves judgement under pressure</x:v>
      </x:c>
    </x:row>
    <x:row r="73" ht="40" customHeight="1">
      <x:c r="A73" s="10" t="n">
        <x:v>6</x:v>
      </x:c>
      <x:c r="B73" s="10" t="n">
        <x:v>1</x:v>
      </x:c>
      <x:c r="C73" s="10" t="str">
        <x:v>ECV2-ART-012</x:v>
      </x:c>
      <x:c r="D73" s="11" t="str">
        <x:v>Articles</x:v>
      </x:c>
      <x:c r="E73" s="11" t="str">
        <x:v>Transport, housing &amp; places</x:v>
      </x:c>
      <x:c r="F73" s="11" t="str">
        <x:v>NEW</x:v>
      </x:c>
      <x:c r="G73" s="11" t="str">
        <x:v>Standard</x:v>
      </x:c>
      <x:c r="H73" s="11" t="str">
        <x:v>Core</x:v>
      </x:c>
      <x:c r="I73" s="11" t="str">
        <x:v>Opinion &amp; commentary</x:v>
      </x:c>
      <x:c r="J73" s="11" t="str">
        <x:v>NEW</x:v>
      </x:c>
      <x:c r="K73" s="11" t="str">
        <x:v>How mixed-use neighbourhoods alter daily travel</x:v>
      </x:c>
    </x:row>
    <x:row r="74" ht="40" customHeight="1">
      <x:c r="A74" s="10" t="n">
        <x:v>6</x:v>
      </x:c>
      <x:c r="B74" s="10" t="n">
        <x:v>3</x:v>
      </x:c>
      <x:c r="C74" s="10" t="str">
        <x:v>ECV2-PER-002</x:v>
      </x:c>
      <x:c r="D74" s="11" t="str">
        <x:v>Personal writing</x:v>
      </x:c>
      <x:c r="E74" s="11" t="str">
        <x:v>Work &amp; organisations</x:v>
      </x:c>
      <x:c r="F74" s="11" t="str">
        <x:v>NEW</x:v>
      </x:c>
      <x:c r="G74" s="11" t="str">
        <x:v>Standard</x:v>
      </x:c>
      <x:c r="H74" s="11" t="str">
        <x:v>Core</x:v>
      </x:c>
      <x:c r="I74" s="11" t="str">
        <x:v>Personal narrative</x:v>
      </x:c>
      <x:c r="J74" s="11" t="str">
        <x:v>NEW</x:v>
      </x:c>
      <x:c r="K74" s="11" t="str">
        <x:v>The first week of mentoring a new colleague</x:v>
      </x:c>
    </x:row>
    <x:row r="75" ht="40" customHeight="1">
      <x:c r="A75" s="10" t="n">
        <x:v>6</x:v>
      </x:c>
      <x:c r="B75" s="10" t="n">
        <x:v>3</x:v>
      </x:c>
      <x:c r="C75" s="10" t="str">
        <x:v>ECV2-PER-017</x:v>
      </x:c>
      <x:c r="D75" s="11" t="str">
        <x:v>Personal writing</x:v>
      </x:c>
      <x:c r="E75" s="11" t="str">
        <x:v>Family, community &amp; relationships</x:v>
      </x:c>
      <x:c r="F75" s="11" t="str">
        <x:v>Rewrite completely</x:v>
      </x:c>
      <x:c r="G75" s="11" t="str">
        <x:v>Extended</x:v>
      </x:c>
      <x:c r="H75" s="11" t="str">
        <x:v>Challenging</x:v>
      </x:c>
      <x:c r="I75" s="11" t="str">
        <x:v>Personal correspondence</x:v>
      </x:c>
      <x:c r="J75" s="11" t="str">
        <x:v>Sharing Care for an Older Parent</x:v>
      </x:c>
      <x:c r="K75" s="11" t="str">
        <x:v>Writing to siblings about sharing care for an older parent</x:v>
      </x:c>
    </x:row>
    <x:row r="76" ht="40" customHeight="1">
      <x:c r="A76" s="10" t="n">
        <x:v>6</x:v>
      </x:c>
      <x:c r="B76" s="10" t="n">
        <x:v>5</x:v>
      </x:c>
      <x:c r="C76" s="10" t="str">
        <x:v>ECV2-NEW-003</x:v>
      </x:c>
      <x:c r="D76" s="11" t="str">
        <x:v>News</x:v>
      </x:c>
      <x:c r="E76" s="11" t="str">
        <x:v>Technology &amp; digital life</x:v>
      </x:c>
      <x:c r="F76" s="11" t="str">
        <x:v>Rewrite completely</x:v>
      </x:c>
      <x:c r="G76" s="11" t="str">
        <x:v>Standard</x:v>
      </x:c>
      <x:c r="H76" s="11" t="str">
        <x:v>Challenging</x:v>
      </x:c>
      <x:c r="I76" s="11" t="str">
        <x:v>Straight report</x:v>
      </x:c>
      <x:c r="J76" s="11" t="str">
        <x:v>New Rules Proposed for High-Risk Artificial Intelligence</x:v>
      </x:c>
      <x:c r="K76" s="11" t="str">
        <x:v>Regulators publish proposed rules for high-risk artificial intelligence</x:v>
      </x:c>
    </x:row>
    <x:row r="77" ht="40" customHeight="1">
      <x:c r="A77" s="10" t="n">
        <x:v>6</x:v>
      </x:c>
      <x:c r="B77" s="10" t="n">
        <x:v>5</x:v>
      </x:c>
      <x:c r="C77" s="10" t="str">
        <x:v>ECV2-NEW-020</x:v>
      </x:c>
      <x:c r="D77" s="11" t="str">
        <x:v>News</x:v>
      </x:c>
      <x:c r="E77" s="11" t="str">
        <x:v>Culture, leisure &amp; everyday life</x:v>
      </x:c>
      <x:c r="F77" s="11" t="str">
        <x:v>NEW</x:v>
      </x:c>
      <x:c r="G77" s="11" t="str">
        <x:v>Extended</x:v>
      </x:c>
      <x:c r="H77" s="11" t="str">
        <x:v>Core</x:v>
      </x:c>
      <x:c r="I77" s="11" t="str">
        <x:v>Interview-led report</x:v>
      </x:c>
      <x:c r="J77" s="11" t="str">
        <x:v>NEW</x:v>
      </x:c>
      <x:c r="K77" s="11" t="str">
        <x:v>Independent cinemas coordinate quieter weekly screenings</x:v>
      </x:c>
    </x:row>
    <x:row r="78" ht="40" customHeight="1">
      <x:c r="A78" s="10" t="n">
        <x:v>6</x:v>
      </x:c>
      <x:c r="B78" s="10" t="n">
        <x:v>7</x:v>
      </x:c>
      <x:c r="C78" s="10" t="str">
        <x:v>ECV2-BUS-009</x:v>
      </x:c>
      <x:c r="D78" s="11" t="str">
        <x:v>Business communication</x:v>
      </x:c>
      <x:c r="E78" s="11" t="str">
        <x:v>Environment &amp; sustainability</x:v>
      </x:c>
      <x:c r="F78" s="11" t="str">
        <x:v>NEW</x:v>
      </x:c>
      <x:c r="G78" s="11" t="str">
        <x:v>Compact</x:v>
      </x:c>
      <x:c r="H78" s="11" t="str">
        <x:v>Challenging</x:v>
      </x:c>
      <x:c r="I78" s="11" t="str">
        <x:v>Risk escalation</x:v>
      </x:c>
      <x:c r="J78" s="11" t="str">
        <x:v>NEW</x:v>
      </x:c>
      <x:c r="K78" s="11" t="str">
        <x:v>Escalating a supplier packaging-compliance gap</x:v>
      </x:c>
    </x:row>
    <x:row r="79" ht="40" customHeight="1">
      <x:c r="A79" s="10" t="n">
        <x:v>6</x:v>
      </x:c>
      <x:c r="B79" s="10" t="n">
        <x:v>7</x:v>
      </x:c>
      <x:c r="C79" s="10" t="str">
        <x:v>ECV2-BUS-015</x:v>
      </x:c>
      <x:c r="D79" s="11" t="str">
        <x:v>Business communication</x:v>
      </x:c>
      <x:c r="E79" s="11" t="str">
        <x:v>Public services &amp; civic life</x:v>
      </x:c>
      <x:c r="F79" s="11" t="str">
        <x:v>Rewrite completely</x:v>
      </x:c>
      <x:c r="G79" s="11" t="str">
        <x:v>Extended</x:v>
      </x:c>
      <x:c r="H79" s="11" t="str">
        <x:v>Challenging</x:v>
      </x:c>
      <x:c r="I79" s="11" t="str">
        <x:v>Customer or stakeholder response</x:v>
      </x:c>
      <x:c r="J79" s="11" t="str">
        <x:v>A Constructive Response to Public Consultation</x:v>
      </x:c>
      <x:c r="K79" s="11" t="str">
        <x:v>Responding constructively to a public consultation</x:v>
      </x:c>
    </x:row>
    <x:row r="80" ht="40" customHeight="1">
      <x:c r="A80" s="10" t="n">
        <x:v>6</x:v>
      </x:c>
      <x:c r="B80" s="10" t="n">
        <x:v>9</x:v>
      </x:c>
      <x:c r="C80" s="10" t="str">
        <x:v>ECV2-GOV-008</x:v>
      </x:c>
      <x:c r="D80" s="11" t="str">
        <x:v>Government &amp; public information</x:v>
      </x:c>
      <x:c r="E80" s="11" t="str">
        <x:v>Education &amp; learning</x:v>
      </x:c>
      <x:c r="F80" s="11" t="str">
        <x:v>NEW</x:v>
      </x:c>
      <x:c r="G80" s="11" t="str">
        <x:v>Standard</x:v>
      </x:c>
      <x:c r="H80" s="11" t="str">
        <x:v>Accessible</x:v>
      </x:c>
      <x:c r="I80" s="11" t="str">
        <x:v>Public notice</x:v>
      </x:c>
      <x:c r="J80" s="11" t="str">
        <x:v>NEW</x:v>
      </x:c>
      <x:c r="K80" s="11" t="str">
        <x:v>A public notice setting out the school-admissions timetable</x:v>
      </x:c>
    </x:row>
    <x:row r="81" ht="40" customHeight="1">
      <x:c r="A81" s="10" t="n">
        <x:v>6</x:v>
      </x:c>
      <x:c r="B81" s="10" t="n">
        <x:v>9</x:v>
      </x:c>
      <x:c r="C81" s="10" t="str">
        <x:v>ECV2-GOV-014</x:v>
      </x:c>
      <x:c r="D81" s="11" t="str">
        <x:v>Government &amp; public information</x:v>
      </x:c>
      <x:c r="E81" s="11" t="str">
        <x:v>Money &amp; the economy</x:v>
      </x:c>
      <x:c r="F81" s="11" t="str">
        <x:v>NEW</x:v>
      </x:c>
      <x:c r="G81" s="11" t="str">
        <x:v>Standard</x:v>
      </x:c>
      <x:c r="H81" s="11" t="str">
        <x:v>Core</x:v>
      </x:c>
      <x:c r="I81" s="11" t="str">
        <x:v>Consultation summary</x:v>
      </x:c>
      <x:c r="J81" s="11" t="str">
        <x:v>NEW</x:v>
      </x:c>
      <x:c r="K81" s="11" t="str">
        <x:v>Consultation findings on eligibility for local rates relief</x:v>
      </x:c>
    </x:row>
    <x:row r="82" ht="40" customHeight="1">
      <x:c r="A82" s="10" t="n">
        <x:v>6</x:v>
      </x:c>
      <x:c r="B82" s="10" t="n">
        <x:v>11</x:v>
      </x:c>
      <x:c r="C82" s="10" t="str">
        <x:v>ECV2-PRO-006</x:v>
      </x:c>
      <x:c r="D82" s="11" t="str">
        <x:v>Proposals &amp; tenders</x:v>
      </x:c>
      <x:c r="E82" s="11" t="str">
        <x:v>Health &amp; wellbeing</x:v>
      </x:c>
      <x:c r="F82" s="11" t="str">
        <x:v>NEW</x:v>
      </x:c>
      <x:c r="G82" s="11" t="str">
        <x:v>Standard</x:v>
      </x:c>
      <x:c r="H82" s="11" t="str">
        <x:v>Core</x:v>
      </x:c>
      <x:c r="I82" s="11" t="str">
        <x:v>Implementation plan</x:v>
      </x:c>
      <x:c r="J82" s="11" t="str">
        <x:v>NEW</x:v>
      </x:c>
      <x:c r="K82" s="11" t="str">
        <x:v>A mobile hearing-screening programme for older residents</x:v>
      </x:c>
    </x:row>
    <x:row r="83" ht="40" customHeight="1">
      <x:c r="A83" s="10" t="n">
        <x:v>6</x:v>
      </x:c>
      <x:c r="B83" s="10" t="n">
        <x:v>11</x:v>
      </x:c>
      <x:c r="C83" s="10" t="str">
        <x:v>ECV2-PRO-008</x:v>
      </x:c>
      <x:c r="D83" s="11" t="str">
        <x:v>Proposals &amp; tenders</x:v>
      </x:c>
      <x:c r="E83" s="11" t="str">
        <x:v>Education &amp; learning</x:v>
      </x:c>
      <x:c r="F83" s="11" t="str">
        <x:v>NEW</x:v>
      </x:c>
      <x:c r="G83" s="11" t="str">
        <x:v>Standard</x:v>
      </x:c>
      <x:c r="H83" s="11" t="str">
        <x:v>Core</x:v>
      </x:c>
      <x:c r="I83" s="11" t="str">
        <x:v>Delivery methodology</x:v>
      </x:c>
      <x:c r="J83" s="11" t="str">
        <x:v>NEW</x:v>
      </x:c>
      <x:c r="K83" s="11" t="str">
        <x:v>Library-based adult numeracy workshops</x:v>
      </x:c>
    </x:row>
    <x:row r="84" ht="40" customHeight="1">
      <x:c r="A84" s="10" t="n">
        <x:v>6</x:v>
      </x:c>
      <x:c r="B84" s="10" t="n">
        <x:v>13</x:v>
      </x:c>
      <x:c r="C84" s="10" t="str">
        <x:v>ECV2-LEG-008</x:v>
      </x:c>
      <x:c r="D84" s="11" t="str">
        <x:v>Legal &amp; contracts</x:v>
      </x:c>
      <x:c r="E84" s="11" t="str">
        <x:v>Education &amp; learning</x:v>
      </x:c>
      <x:c r="F84" s="11" t="str">
        <x:v>NEW</x:v>
      </x:c>
      <x:c r="G84" s="11" t="str">
        <x:v>Compact</x:v>
      </x:c>
      <x:c r="H84" s="11" t="str">
        <x:v>Core</x:v>
      </x:c>
      <x:c r="I84" s="11" t="str">
        <x:v>Procedural clause</x:v>
      </x:c>
      <x:c r="J84" s="11" t="str">
        <x:v>NEW</x:v>
      </x:c>
      <x:c r="K84" s="11" t="str">
        <x:v>A procedure for training-provider refunds and cancellations</x:v>
      </x:c>
    </x:row>
    <x:row r="85" ht="40" customHeight="1">
      <x:c r="A85" s="10" t="n">
        <x:v>6</x:v>
      </x:c>
      <x:c r="B85" s="10" t="n">
        <x:v>13</x:v>
      </x:c>
      <x:c r="C85" s="10" t="str">
        <x:v>ECV2-LEG-016</x:v>
      </x:c>
      <x:c r="D85" s="11" t="str">
        <x:v>Legal &amp; contracts</x:v>
      </x:c>
      <x:c r="E85" s="11" t="str">
        <x:v>Public services &amp; civic life</x:v>
      </x:c>
      <x:c r="F85" s="11" t="str">
        <x:v>NEW</x:v>
      </x:c>
      <x:c r="G85" s="11" t="str">
        <x:v>Standard</x:v>
      </x:c>
      <x:c r="H85" s="11" t="str">
        <x:v>Accessible</x:v>
      </x:c>
      <x:c r="I85" s="11" t="str">
        <x:v>Formal notice</x:v>
      </x:c>
      <x:c r="J85" s="11" t="str">
        <x:v>NEW</x:v>
      </x:c>
      <x:c r="K85" s="11" t="str">
        <x:v>A formal notice changing public-service opening hours</x:v>
      </x:c>
    </x:row>
    <x:row r="86" ht="40" customHeight="1">
      <x:c r="A86" s="10" t="n">
        <x:v>7</x:v>
      </x:c>
      <x:c r="B86" s="10" t="n">
        <x:v>1</x:v>
      </x:c>
      <x:c r="C86" s="10" t="str">
        <x:v>ECV2-ART-007</x:v>
      </x:c>
      <x:c r="D86" s="11" t="str">
        <x:v>Articles</x:v>
      </x:c>
      <x:c r="E86" s="11" t="str">
        <x:v>Education &amp; learning</x:v>
      </x:c>
      <x:c r="F86" s="11" t="str">
        <x:v>Reclassify</x:v>
      </x:c>
      <x:c r="G86" s="11" t="str">
        <x:v>Standard</x:v>
      </x:c>
      <x:c r="H86" s="11" t="str">
        <x:v>Core</x:v>
      </x:c>
      <x:c r="I86" s="11" t="str">
        <x:v>Explainer</x:v>
      </x:c>
      <x:c r="J86" s="11" t="str">
        <x:v>Why Slow Practice Works</x:v>
      </x:c>
      <x:c r="K86" s="11" t="str">
        <x:v>Why slow practice exposes errors before speed hides them</x:v>
      </x:c>
    </x:row>
    <x:row r="87" ht="40" customHeight="1">
      <x:c r="A87" s="10" t="n">
        <x:v>7</x:v>
      </x:c>
      <x:c r="B87" s="10" t="n">
        <x:v>1</x:v>
      </x:c>
      <x:c r="C87" s="10" t="str">
        <x:v>ECV2-ART-018</x:v>
      </x:c>
      <x:c r="D87" s="11" t="str">
        <x:v>Articles</x:v>
      </x:c>
      <x:c r="E87" s="11" t="str">
        <x:v>Family, community &amp; relationships</x:v>
      </x:c>
      <x:c r="F87" s="11" t="str">
        <x:v>NEW</x:v>
      </x:c>
      <x:c r="G87" s="11" t="str">
        <x:v>Standard</x:v>
      </x:c>
      <x:c r="H87" s="11" t="str">
        <x:v>Challenging</x:v>
      </x:c>
      <x:c r="I87" s="11" t="str">
        <x:v>Opinion &amp; commentary</x:v>
      </x:c>
      <x:c r="J87" s="11" t="str">
        <x:v>NEW</x:v>
      </x:c>
      <x:c r="K87" s="11" t="str">
        <x:v>Why intergenerational households negotiate privacy differently</x:v>
      </x:c>
    </x:row>
    <x:row r="88" ht="40" customHeight="1">
      <x:c r="A88" s="10" t="n">
        <x:v>7</x:v>
      </x:c>
      <x:c r="B88" s="10" t="n">
        <x:v>3</x:v>
      </x:c>
      <x:c r="C88" s="10" t="str">
        <x:v>ECV2-PER-015</x:v>
      </x:c>
      <x:c r="D88" s="11" t="str">
        <x:v>Personal writing</x:v>
      </x:c>
      <x:c r="E88" s="11" t="str">
        <x:v>Public services &amp; civic life</x:v>
      </x:c>
      <x:c r="F88" s="11" t="str">
        <x:v>NEW</x:v>
      </x:c>
      <x:c r="G88" s="11" t="str">
        <x:v>Standard</x:v>
      </x:c>
      <x:c r="H88" s="11" t="str">
        <x:v>Accessible</x:v>
      </x:c>
      <x:c r="I88" s="11" t="str">
        <x:v>Observational sketch</x:v>
      </x:c>
      <x:c r="J88" s="11" t="str">
        <x:v>NEW</x:v>
      </x:c>
      <x:c r="K88" s="11" t="str">
        <x:v>Helping a neighbour complete an unfamiliar public-service form</x:v>
      </x:c>
    </x:row>
    <x:row r="89" ht="40" customHeight="1">
      <x:c r="A89" s="10" t="n">
        <x:v>7</x:v>
      </x:c>
      <x:c r="B89" s="10" t="n">
        <x:v>3</x:v>
      </x:c>
      <x:c r="C89" s="10" t="str">
        <x:v>ECV2-PER-020</x:v>
      </x:c>
      <x:c r="D89" s="11" t="str">
        <x:v>Personal writing</x:v>
      </x:c>
      <x:c r="E89" s="11" t="str">
        <x:v>Culture, leisure &amp; everyday life</x:v>
      </x:c>
      <x:c r="F89" s="11" t="str">
        <x:v>NEW</x:v>
      </x:c>
      <x:c r="G89" s="11" t="str">
        <x:v>Extended</x:v>
      </x:c>
      <x:c r="H89" s="11" t="str">
        <x:v>Core</x:v>
      </x:c>
      <x:c r="I89" s="11" t="str">
        <x:v>Place or travel vignette</x:v>
      </x:c>
      <x:c r="J89" s="11" t="str">
        <x:v>NEW</x:v>
      </x:c>
      <x:c r="K89" s="11" t="str">
        <x:v>A walk home after a concert changed how the city sounded</x:v>
      </x:c>
    </x:row>
    <x:row r="90" ht="40" customHeight="1">
      <x:c r="A90" s="10" t="n">
        <x:v>7</x:v>
      </x:c>
      <x:c r="B90" s="10" t="n">
        <x:v>5</x:v>
      </x:c>
      <x:c r="C90" s="10" t="str">
        <x:v>ECV2-NEW-001</x:v>
      </x:c>
      <x:c r="D90" s="11" t="str">
        <x:v>News</x:v>
      </x:c>
      <x:c r="E90" s="11" t="str">
        <x:v>Work &amp; organisations</x:v>
      </x:c>
      <x:c r="F90" s="11" t="str">
        <x:v>Rewrite completely</x:v>
      </x:c>
      <x:c r="G90" s="11" t="str">
        <x:v>Standard</x:v>
      </x:c>
      <x:c r="H90" s="11" t="str">
        <x:v>Core</x:v>
      </x:c>
      <x:c r="I90" s="11" t="str">
        <x:v>Follow-up report</x:v>
      </x:c>
      <x:c r="J90" s="11" t="str">
        <x:v>Platform Workers Seek Portable Benefits</x:v>
      </x:c>
      <x:c r="K90" s="11" t="str">
        <x:v>Platform workers renew calls for portable employment benefits</x:v>
      </x:c>
    </x:row>
    <x:row r="91" ht="40" customHeight="1">
      <x:c r="A91" s="10" t="n">
        <x:v>7</x:v>
      </x:c>
      <x:c r="B91" s="10" t="n">
        <x:v>5</x:v>
      </x:c>
      <x:c r="C91" s="10" t="str">
        <x:v>ECV2-NEW-013</x:v>
      </x:c>
      <x:c r="D91" s="11" t="str">
        <x:v>News</x:v>
      </x:c>
      <x:c r="E91" s="11" t="str">
        <x:v>Money &amp; the economy</x:v>
      </x:c>
      <x:c r="F91" s="11" t="str">
        <x:v>NEW</x:v>
      </x:c>
      <x:c r="G91" s="11" t="str">
        <x:v>Extended</x:v>
      </x:c>
      <x:c r="H91" s="11" t="str">
        <x:v>Challenging</x:v>
      </x:c>
      <x:c r="I91" s="11" t="str">
        <x:v>Data-led report</x:v>
      </x:c>
      <x:c r="J91" s="11" t="str">
        <x:v>NEW</x:v>
      </x:c>
      <x:c r="K91" s="11" t="str">
        <x:v>Food-price growth slows at municipal markets</x:v>
      </x:c>
    </x:row>
    <x:row r="92" ht="40" customHeight="1">
      <x:c r="A92" s="10" t="n">
        <x:v>7</x:v>
      </x:c>
      <x:c r="B92" s="10" t="n">
        <x:v>7</x:v>
      </x:c>
      <x:c r="C92" s="10" t="str">
        <x:v>ECV2-BUS-005</x:v>
      </x:c>
      <x:c r="D92" s="11" t="str">
        <x:v>Business communication</x:v>
      </x:c>
      <x:c r="E92" s="11" t="str">
        <x:v>Health &amp; wellbeing</x:v>
      </x:c>
      <x:c r="F92" s="11" t="str">
        <x:v>NEW</x:v>
      </x:c>
      <x:c r="G92" s="11" t="str">
        <x:v>Compact</x:v>
      </x:c>
      <x:c r="H92" s="11" t="str">
        <x:v>Core</x:v>
      </x:c>
      <x:c r="I92" s="11" t="str">
        <x:v>Decision request</x:v>
      </x:c>
      <x:c r="J92" s="11" t="str">
        <x:v>NEW</x:v>
      </x:c>
      <x:c r="K92" s="11" t="str">
        <x:v>Requesting approval for a staff wellbeing pilot</x:v>
      </x:c>
    </x:row>
    <x:row r="93" ht="40" customHeight="1">
      <x:c r="A93" s="10" t="n">
        <x:v>7</x:v>
      </x:c>
      <x:c r="B93" s="10" t="n">
        <x:v>7</x:v>
      </x:c>
      <x:c r="C93" s="10" t="str">
        <x:v>ECV2-BUS-011</x:v>
      </x:c>
      <x:c r="D93" s="11" t="str">
        <x:v>Business communication</x:v>
      </x:c>
      <x:c r="E93" s="11" t="str">
        <x:v>Transport, housing &amp; places</x:v>
      </x:c>
      <x:c r="F93" s="11" t="str">
        <x:v>NEW</x:v>
      </x:c>
      <x:c r="G93" s="11" t="str">
        <x:v>Standard</x:v>
      </x:c>
      <x:c r="H93" s="11" t="str">
        <x:v>Accessible</x:v>
      </x:c>
      <x:c r="I93" s="11" t="str">
        <x:v>Customer or stakeholder response</x:v>
      </x:c>
      <x:c r="J93" s="11" t="str">
        <x:v>NEW</x:v>
      </x:c>
      <x:c r="K93" s="11" t="str">
        <x:v>Notifying clients about a change to warehouse access</x:v>
      </x:c>
    </x:row>
    <x:row r="94" ht="40" customHeight="1">
      <x:c r="A94" s="10" t="n">
        <x:v>7</x:v>
      </x:c>
      <x:c r="B94" s="10" t="n">
        <x:v>9</x:v>
      </x:c>
      <x:c r="C94" s="10" t="str">
        <x:v>ECV2-GOV-002</x:v>
      </x:c>
      <x:c r="D94" s="11" t="str">
        <x:v>Government &amp; public information</x:v>
      </x:c>
      <x:c r="E94" s="11" t="str">
        <x:v>Work &amp; organisations</x:v>
      </x:c>
      <x:c r="F94" s="11" t="str">
        <x:v>NEW</x:v>
      </x:c>
      <x:c r="G94" s="11" t="str">
        <x:v>Standard</x:v>
      </x:c>
      <x:c r="H94" s="11" t="str">
        <x:v>Core</x:v>
      </x:c>
      <x:c r="I94" s="11" t="str">
        <x:v>Formal report summary</x:v>
      </x:c>
      <x:c r="J94" s="11" t="str">
        <x:v>NEW</x:v>
      </x:c>
      <x:c r="K94" s="11" t="str">
        <x:v>A formal summary of a flexible-work pilot in the civil service</x:v>
      </x:c>
    </x:row>
    <x:row r="95" ht="40" customHeight="1">
      <x:c r="A95" s="10" t="n">
        <x:v>7</x:v>
      </x:c>
      <x:c r="B95" s="10" t="n">
        <x:v>9</x:v>
      </x:c>
      <x:c r="C95" s="10" t="str">
        <x:v>ECV2-GOV-018</x:v>
      </x:c>
      <x:c r="D95" s="11" t="str">
        <x:v>Government &amp; public information</x:v>
      </x:c>
      <x:c r="E95" s="11" t="str">
        <x:v>Family, community &amp; relationships</x:v>
      </x:c>
      <x:c r="F95" s="11" t="str">
        <x:v>NEW</x:v>
      </x:c>
      <x:c r="G95" s="11" t="str">
        <x:v>Standard</x:v>
      </x:c>
      <x:c r="H95" s="11" t="str">
        <x:v>Core</x:v>
      </x:c>
      <x:c r="I95" s="11" t="str">
        <x:v>Service guidance</x:v>
      </x:c>
      <x:c r="J95" s="11" t="str">
        <x:v>NEW</x:v>
      </x:c>
      <x:c r="K95" s="11" t="str">
        <x:v>Guidance for registering an authorised home-care representative</x:v>
      </x:c>
    </x:row>
    <x:row r="96" ht="40" customHeight="1">
      <x:c r="A96" s="10" t="n">
        <x:v>7</x:v>
      </x:c>
      <x:c r="B96" s="10" t="n">
        <x:v>11</x:v>
      </x:c>
      <x:c r="C96" s="10" t="str">
        <x:v>ECV2-PRO-002</x:v>
      </x:c>
      <x:c r="D96" s="11" t="str">
        <x:v>Proposals &amp; tenders</x:v>
      </x:c>
      <x:c r="E96" s="11" t="str">
        <x:v>Work &amp; organisations</x:v>
      </x:c>
      <x:c r="F96" s="11" t="str">
        <x:v>NEW</x:v>
      </x:c>
      <x:c r="G96" s="11" t="str">
        <x:v>Standard</x:v>
      </x:c>
      <x:c r="H96" s="11" t="str">
        <x:v>Accessible</x:v>
      </x:c>
      <x:c r="I96" s="11" t="str">
        <x:v>Implementation plan</x:v>
      </x:c>
      <x:c r="J96" s="11" t="str">
        <x:v>NEW</x:v>
      </x:c>
      <x:c r="K96" s="11" t="str">
        <x:v>A hybrid onboarding service for distributed teams</x:v>
      </x:c>
    </x:row>
    <x:row r="97" ht="40" customHeight="1">
      <x:c r="A97" s="10" t="n">
        <x:v>7</x:v>
      </x:c>
      <x:c r="B97" s="10" t="n">
        <x:v>11</x:v>
      </x:c>
      <x:c r="C97" s="10" t="str">
        <x:v>ECV2-PRO-003</x:v>
      </x:c>
      <x:c r="D97" s="11" t="str">
        <x:v>Proposals &amp; tenders</x:v>
      </x:c>
      <x:c r="E97" s="11" t="str">
        <x:v>Technology &amp; digital life</x:v>
      </x:c>
      <x:c r="F97" s="11" t="str">
        <x:v>Rewrite completely</x:v>
      </x:c>
      <x:c r="G97" s="11" t="str">
        <x:v>Extended</x:v>
      </x:c>
      <x:c r="H97" s="11" t="str">
        <x:v>Challenging</x:v>
      </x:c>
      <x:c r="I97" s="11" t="str">
        <x:v>Requirements response</x:v>
      </x:c>
      <x:c r="J97" s="11" t="str">
        <x:v>Integrated Transport Data Platform</x:v>
      </x:c>
      <x:c r="K97" s="11" t="str">
        <x:v>A shared transport-data platform with controlled access and clear ownership</x:v>
      </x:c>
    </x:row>
    <x:row r="98" ht="40" customHeight="1">
      <x:c r="A98" s="10" t="n">
        <x:v>7</x:v>
      </x:c>
      <x:c r="B98" s="10" t="n">
        <x:v>13</x:v>
      </x:c>
      <x:c r="C98" s="10" t="str">
        <x:v>ECV2-LEG-010</x:v>
      </x:c>
      <x:c r="D98" s="11" t="str">
        <x:v>Legal &amp; contracts</x:v>
      </x:c>
      <x:c r="E98" s="11" t="str">
        <x:v>Environment &amp; sustainability</x:v>
      </x:c>
      <x:c r="F98" s="11" t="str">
        <x:v>NEW</x:v>
      </x:c>
      <x:c r="G98" s="11" t="str">
        <x:v>Extended</x:v>
      </x:c>
      <x:c r="H98" s="11" t="str">
        <x:v>Challenging</x:v>
      </x:c>
      <x:c r="I98" s="11" t="str">
        <x:v>Compliance or remedy provision</x:v>
      </x:c>
      <x:c r="J98" s="11" t="str">
        <x:v>NEW</x:v>
      </x:c>
      <x:c r="K98" s="11" t="str">
        <x:v>An environmental performance remedy schedule</x:v>
      </x:c>
    </x:row>
    <x:row r="99" ht="40" customHeight="1">
      <x:c r="A99" s="10" t="n">
        <x:v>7</x:v>
      </x:c>
      <x:c r="B99" s="10" t="n">
        <x:v>13</x:v>
      </x:c>
      <x:c r="C99" s="10" t="str">
        <x:v>ECV2-LEG-015</x:v>
      </x:c>
      <x:c r="D99" s="11" t="str">
        <x:v>Legal &amp; contracts</x:v>
      </x:c>
      <x:c r="E99" s="11" t="str">
        <x:v>Public services &amp; civic life</x:v>
      </x:c>
      <x:c r="F99" s="11" t="str">
        <x:v>Rewrite completely</x:v>
      </x:c>
      <x:c r="G99" s="11" t="str">
        <x:v>Compact</x:v>
      </x:c>
      <x:c r="H99" s="11" t="str">
        <x:v>Core</x:v>
      </x:c>
      <x:c r="I99" s="11" t="str">
        <x:v>Procedural clause</x:v>
      </x:c>
      <x:c r="J99" s="11" t="str">
        <x:v>Service Continuity and Recovery Clause</x:v>
      </x:c>
      <x:c r="K99" s="11" t="str">
        <x:v>A procedure for maintaining and recovering essential public services</x:v>
      </x:c>
    </x:row>
    <x:row r="100" ht="40" customHeight="1">
      <x:c r="A100" s="10" t="n">
        <x:v>8</x:v>
      </x:c>
      <x:c r="B100" s="10" t="n">
        <x:v>1</x:v>
      </x:c>
      <x:c r="C100" s="10" t="str">
        <x:v>ECV2-ART-017</x:v>
      </x:c>
      <x:c r="D100" s="11" t="str">
        <x:v>Articles</x:v>
      </x:c>
      <x:c r="E100" s="11" t="str">
        <x:v>Family, community &amp; relationships</x:v>
      </x:c>
      <x:c r="F100" s="11" t="str">
        <x:v>NEW</x:v>
      </x:c>
      <x:c r="G100" s="11" t="str">
        <x:v>Extended</x:v>
      </x:c>
      <x:c r="H100" s="11" t="str">
        <x:v>Core</x:v>
      </x:c>
      <x:c r="I100" s="11" t="str">
        <x:v>Feature</x:v>
      </x:c>
      <x:c r="J100" s="11" t="str">
        <x:v>NEW</x:v>
      </x:c>
      <x:c r="K100" s="11" t="str">
        <x:v>How shared calendars redistribute unpaid care work</x:v>
      </x:c>
    </x:row>
    <x:row r="101" ht="40" customHeight="1">
      <x:c r="A101" s="10" t="n">
        <x:v>8</x:v>
      </x:c>
      <x:c r="B101" s="10" t="n">
        <x:v>1</x:v>
      </x:c>
      <x:c r="C101" s="10" t="str">
        <x:v>ECV2-ART-020</x:v>
      </x:c>
      <x:c r="D101" s="11" t="str">
        <x:v>Articles</x:v>
      </x:c>
      <x:c r="E101" s="11" t="str">
        <x:v>Culture, leisure &amp; everyday life</x:v>
      </x:c>
      <x:c r="F101" s="11" t="str">
        <x:v>NEW</x:v>
      </x:c>
      <x:c r="G101" s="11" t="str">
        <x:v>Standard</x:v>
      </x:c>
      <x:c r="H101" s="11" t="str">
        <x:v>Challenging</x:v>
      </x:c>
      <x:c r="I101" s="11" t="str">
        <x:v>Opinion &amp; commentary</x:v>
      </x:c>
      <x:c r="J101" s="11" t="str">
        <x:v>NEW</x:v>
      </x:c>
      <x:c r="K101" s="11" t="str">
        <x:v>Why family recipes carry memory across generations</x:v>
      </x:c>
    </x:row>
    <x:row r="102" ht="40" customHeight="1">
      <x:c r="A102" s="10" t="n">
        <x:v>8</x:v>
      </x:c>
      <x:c r="B102" s="10" t="n">
        <x:v>3</x:v>
      </x:c>
      <x:c r="C102" s="10" t="str">
        <x:v>ECV2-PER-001</x:v>
      </x:c>
      <x:c r="D102" s="11" t="str">
        <x:v>Personal writing</x:v>
      </x:c>
      <x:c r="E102" s="11" t="str">
        <x:v>Work &amp; organisations</x:v>
      </x:c>
      <x:c r="F102" s="11" t="str">
        <x:v>Rewrite completely</x:v>
      </x:c>
      <x:c r="G102" s="11" t="str">
        <x:v>Standard</x:v>
      </x:c>
      <x:c r="H102" s="11" t="str">
        <x:v>Core</x:v>
      </x:c>
      <x:c r="I102" s="11" t="str">
        <x:v>Reflective essay</x:v>
      </x:c>
      <x:c r="J102" s="11" t="str">
        <x:v>Working From Home Without Living at Work</x:v>
      </x:c>
      <x:c r="K102" s="11" t="str">
        <x:v>Learning to protect home life while working remotely</x:v>
      </x:c>
    </x:row>
    <x:row r="103" ht="40" customHeight="1">
      <x:c r="A103" s="10" t="n">
        <x:v>8</x:v>
      </x:c>
      <x:c r="B103" s="10" t="n">
        <x:v>3</x:v>
      </x:c>
      <x:c r="C103" s="10" t="str">
        <x:v>ECV2-PER-010</x:v>
      </x:c>
      <x:c r="D103" s="11" t="str">
        <x:v>Personal writing</x:v>
      </x:c>
      <x:c r="E103" s="11" t="str">
        <x:v>Environment &amp; sustainability</x:v>
      </x:c>
      <x:c r="F103" s="11" t="str">
        <x:v>NEW</x:v>
      </x:c>
      <x:c r="G103" s="11" t="str">
        <x:v>Compact</x:v>
      </x:c>
      <x:c r="H103" s="11" t="str">
        <x:v>Accessible</x:v>
      </x:c>
      <x:c r="I103" s="11" t="str">
        <x:v>Observational sketch</x:v>
      </x:c>
      <x:c r="J103" s="11" t="str">
        <x:v>NEW</x:v>
      </x:c>
      <x:c r="K103" s="11" t="str">
        <x:v>Watching a community garden survive a dry summer</x:v>
      </x:c>
    </x:row>
    <x:row r="104" ht="40" customHeight="1">
      <x:c r="A104" s="10" t="n">
        <x:v>8</x:v>
      </x:c>
      <x:c r="B104" s="10" t="n">
        <x:v>5</x:v>
      </x:c>
      <x:c r="C104" s="10" t="str">
        <x:v>ECV2-NEW-007</x:v>
      </x:c>
      <x:c r="D104" s="11" t="str">
        <x:v>News</x:v>
      </x:c>
      <x:c r="E104" s="11" t="str">
        <x:v>Education &amp; learning</x:v>
      </x:c>
      <x:c r="F104" s="11" t="str">
        <x:v>Rewrite completely</x:v>
      </x:c>
      <x:c r="G104" s="11" t="str">
        <x:v>Standard</x:v>
      </x:c>
      <x:c r="H104" s="11" t="str">
        <x:v>Core</x:v>
      </x:c>
      <x:c r="I104" s="11" t="str">
        <x:v>Data-led report</x:v>
      </x:c>
      <x:c r="J104" s="11" t="str">
        <x:v>Schools Pilot Broader Assessment Model</x:v>
      </x:c>
      <x:c r="K104" s="11" t="str">
        <x:v>Schools begin a pilot using broader forms of assessment</x:v>
      </x:c>
    </x:row>
    <x:row r="105" ht="40" customHeight="1">
      <x:c r="A105" s="10" t="n">
        <x:v>8</x:v>
      </x:c>
      <x:c r="B105" s="10" t="n">
        <x:v>5</x:v>
      </x:c>
      <x:c r="C105" s="10" t="str">
        <x:v>ECV2-NEW-017</x:v>
      </x:c>
      <x:c r="D105" s="11" t="str">
        <x:v>News</x:v>
      </x:c>
      <x:c r="E105" s="11" t="str">
        <x:v>Family, community &amp; relationships</x:v>
      </x:c>
      <x:c r="F105" s="11" t="str">
        <x:v>NEW</x:v>
      </x:c>
      <x:c r="G105" s="11" t="str">
        <x:v>Extended</x:v>
      </x:c>
      <x:c r="H105" s="11" t="str">
        <x:v>Core</x:v>
      </x:c>
      <x:c r="I105" s="11" t="str">
        <x:v>Interview-led report</x:v>
      </x:c>
      <x:c r="J105" s="11" t="str">
        <x:v>NEW</x:v>
      </x:c>
      <x:c r="K105" s="11" t="str">
        <x:v>Community groups launch a respite network for unpaid carers</x:v>
      </x:c>
    </x:row>
    <x:row r="106" ht="40" customHeight="1">
      <x:c r="A106" s="10" t="n">
        <x:v>8</x:v>
      </x:c>
      <x:c r="B106" s="10" t="n">
        <x:v>7</x:v>
      </x:c>
      <x:c r="C106" s="10" t="str">
        <x:v>ECV2-BUS-004</x:v>
      </x:c>
      <x:c r="D106" s="11" t="str">
        <x:v>Business communication</x:v>
      </x:c>
      <x:c r="E106" s="11" t="str">
        <x:v>Technology &amp; digital life</x:v>
      </x:c>
      <x:c r="F106" s="11" t="str">
        <x:v>NEW</x:v>
      </x:c>
      <x:c r="G106" s="11" t="str">
        <x:v>Standard</x:v>
      </x:c>
      <x:c r="H106" s="11" t="str">
        <x:v>Accessible</x:v>
      </x:c>
      <x:c r="I106" s="11" t="str">
        <x:v>Progress update</x:v>
      </x:c>
      <x:c r="J106" s="11" t="str">
        <x:v>NEW</x:v>
      </x:c>
      <x:c r="K106" s="11" t="str">
        <x:v>Confirming a staged migration from a shared drive to a document platform</x:v>
      </x:c>
    </x:row>
    <x:row r="107" ht="40" customHeight="1">
      <x:c r="A107" s="10" t="n">
        <x:v>8</x:v>
      </x:c>
      <x:c r="B107" s="10" t="n">
        <x:v>7</x:v>
      </x:c>
      <x:c r="C107" s="10" t="str">
        <x:v>ECV2-BUS-006</x:v>
      </x:c>
      <x:c r="D107" s="11" t="str">
        <x:v>Business communication</x:v>
      </x:c>
      <x:c r="E107" s="11" t="str">
        <x:v>Health &amp; wellbeing</x:v>
      </x:c>
      <x:c r="F107" s="11" t="str">
        <x:v>NEW</x:v>
      </x:c>
      <x:c r="G107" s="11" t="str">
        <x:v>Compact</x:v>
      </x:c>
      <x:c r="H107" s="11" t="str">
        <x:v>Core</x:v>
      </x:c>
      <x:c r="I107" s="11" t="str">
        <x:v>Risk escalation</x:v>
      </x:c>
      <x:c r="J107" s="11" t="str">
        <x:v>NEW</x:v>
      </x:c>
      <x:c r="K107" s="11" t="str">
        <x:v>Reporting delays in occupational-health referrals</x:v>
      </x:c>
    </x:row>
    <x:row r="108" ht="40" customHeight="1">
      <x:c r="A108" s="10" t="n">
        <x:v>8</x:v>
      </x:c>
      <x:c r="B108" s="10" t="n">
        <x:v>9</x:v>
      </x:c>
      <x:c r="C108" s="10" t="str">
        <x:v>ECV2-GOV-011</x:v>
      </x:c>
      <x:c r="D108" s="11" t="str">
        <x:v>Government &amp; public information</x:v>
      </x:c>
      <x:c r="E108" s="11" t="str">
        <x:v>Transport, housing &amp; places</x:v>
      </x:c>
      <x:c r="F108" s="11" t="str">
        <x:v>Rewrite completely</x:v>
      </x:c>
      <x:c r="G108" s="11" t="str">
        <x:v>Extended</x:v>
      </x:c>
      <x:c r="H108" s="11" t="str">
        <x:v>Challenging</x:v>
      </x:c>
      <x:c r="I108" s="11" t="str">
        <x:v>Policy brief</x:v>
      </x:c>
      <x:c r="J108" s="11" t="str">
        <x:v>Housing Affordability and Secure Renting</x:v>
      </x:c>
      <x:c r="K108" s="11" t="str">
        <x:v>A policy brief on housing affordability and secure renting</x:v>
      </x:c>
    </x:row>
    <x:row r="109" ht="40" customHeight="1">
      <x:c r="A109" s="10" t="n">
        <x:v>8</x:v>
      </x:c>
      <x:c r="B109" s="10" t="n">
        <x:v>9</x:v>
      </x:c>
      <x:c r="C109" s="10" t="str">
        <x:v>ECV2-GOV-016</x:v>
      </x:c>
      <x:c r="D109" s="11" t="str">
        <x:v>Government &amp; public information</x:v>
      </x:c>
      <x:c r="E109" s="11" t="str">
        <x:v>Public services &amp; civic life</x:v>
      </x:c>
      <x:c r="F109" s="11" t="str">
        <x:v>NEW</x:v>
      </x:c>
      <x:c r="G109" s="11" t="str">
        <x:v>Standard</x:v>
      </x:c>
      <x:c r="H109" s="11" t="str">
        <x:v>Challenging</x:v>
      </x:c>
      <x:c r="I109" s="11" t="str">
        <x:v>Formal report summary</x:v>
      </x:c>
      <x:c r="J109" s="11" t="str">
        <x:v>NEW</x:v>
      </x:c>
      <x:c r="K109" s="11" t="str">
        <x:v>An annual report summary linking complaints to service improvements</x:v>
      </x:c>
    </x:row>
    <x:row r="110" ht="40" customHeight="1">
      <x:c r="A110" s="10" t="n">
        <x:v>8</x:v>
      </x:c>
      <x:c r="B110" s="10" t="n">
        <x:v>11</x:v>
      </x:c>
      <x:c r="C110" s="10" t="str">
        <x:v>ECV2-PRO-013</x:v>
      </x:c>
      <x:c r="D110" s="11" t="str">
        <x:v>Proposals &amp; tenders</x:v>
      </x:c>
      <x:c r="E110" s="11" t="str">
        <x:v>Money &amp; the economy</x:v>
      </x:c>
      <x:c r="F110" s="11" t="str">
        <x:v>NEW</x:v>
      </x:c>
      <x:c r="G110" s="11" t="str">
        <x:v>Standard</x:v>
      </x:c>
      <x:c r="H110" s="11" t="str">
        <x:v>Accessible</x:v>
      </x:c>
      <x:c r="I110" s="11" t="str">
        <x:v>Executive summary</x:v>
      </x:c>
      <x:c r="J110" s="11" t="str">
        <x:v>NEW</x:v>
      </x:c>
      <x:c r="K110" s="11" t="str">
        <x:v>A neighbourhood debt-advice outreach service</x:v>
      </x:c>
    </x:row>
    <x:row r="111" ht="40" customHeight="1">
      <x:c r="A111" s="10" t="n">
        <x:v>8</x:v>
      </x:c>
      <x:c r="B111" s="10" t="n">
        <x:v>11</x:v>
      </x:c>
      <x:c r="C111" s="10" t="str">
        <x:v>ECV2-PRO-015</x:v>
      </x:c>
      <x:c r="D111" s="11" t="str">
        <x:v>Proposals &amp; tenders</x:v>
      </x:c>
      <x:c r="E111" s="11" t="str">
        <x:v>Public services &amp; civic life</x:v>
      </x:c>
      <x:c r="F111" s="11" t="str">
        <x:v>Expand</x:v>
      </x:c>
      <x:c r="G111" s="11" t="str">
        <x:v>Standard</x:v>
      </x:c>
      <x:c r="H111" s="11" t="str">
        <x:v>Core</x:v>
      </x:c>
      <x:c r="I111" s="11" t="str">
        <x:v>Requirements response</x:v>
      </x:c>
      <x:c r="J111" s="11" t="str">
        <x:v>Evaluating a Practical Proposal</x:v>
      </x:c>
      <x:c r="K111" s="11" t="str">
        <x:v>Evaluating a public-service proposal through traceable evidence</x:v>
      </x:c>
    </x:row>
    <x:row r="112" ht="40" customHeight="1">
      <x:c r="A112" s="10" t="n">
        <x:v>8</x:v>
      </x:c>
      <x:c r="B112" s="10" t="n">
        <x:v>13</x:v>
      </x:c>
      <x:c r="C112" s="10" t="str">
        <x:v>ECV2-LEG-009</x:v>
      </x:c>
      <x:c r="D112" s="11" t="str">
        <x:v>Legal &amp; contracts</x:v>
      </x:c>
      <x:c r="E112" s="11" t="str">
        <x:v>Environment &amp; sustainability</x:v>
      </x:c>
      <x:c r="F112" s="11" t="str">
        <x:v>NEW</x:v>
      </x:c>
      <x:c r="G112" s="11" t="str">
        <x:v>Compact</x:v>
      </x:c>
      <x:c r="H112" s="11" t="str">
        <x:v>Challenging</x:v>
      </x:c>
      <x:c r="I112" s="11" t="str">
        <x:v>Procedural clause</x:v>
      </x:c>
      <x:c r="J112" s="11" t="str">
        <x:v>NEW</x:v>
      </x:c>
      <x:c r="K112" s="11" t="str">
        <x:v>A procedure for reporting contaminated recycling loads</x:v>
      </x:c>
    </x:row>
    <x:row r="113" ht="40" customHeight="1">
      <x:c r="A113" s="10" t="n">
        <x:v>8</x:v>
      </x:c>
      <x:c r="B113" s="10" t="n">
        <x:v>13</x:v>
      </x:c>
      <x:c r="C113" s="10" t="str">
        <x:v>ECV2-LEG-019</x:v>
      </x:c>
      <x:c r="D113" s="11" t="str">
        <x:v>Legal &amp; contracts</x:v>
      </x:c>
      <x:c r="E113" s="11" t="str">
        <x:v>Culture, leisure &amp; everyday life</x:v>
      </x:c>
      <x:c r="F113" s="11" t="str">
        <x:v>NEW</x:v>
      </x:c>
      <x:c r="G113" s="11" t="str">
        <x:v>Standard</x:v>
      </x:c>
      <x:c r="H113" s="11" t="str">
        <x:v>Core</x:v>
      </x:c>
      <x:c r="I113" s="11" t="str">
        <x:v>Formal notice</x:v>
      </x:c>
      <x:c r="J113" s="11" t="str">
        <x:v>NEW</x:v>
      </x:c>
      <x:c r="K113" s="11" t="str">
        <x:v>A formal notice governing image licences for a community exhibition</x:v>
      </x:c>
    </x:row>
    <x:row r="114" ht="40" customHeight="1">
      <x:c r="A114" s="10" t="n">
        <x:v>9</x:v>
      </x:c>
      <x:c r="B114" s="10" t="n">
        <x:v>1</x:v>
      </x:c>
      <x:c r="C114" s="10" t="str">
        <x:v>ECV2-ART-008</x:v>
      </x:c>
      <x:c r="D114" s="11" t="str">
        <x:v>Articles</x:v>
      </x:c>
      <x:c r="E114" s="11" t="str">
        <x:v>Education &amp; learning</x:v>
      </x:c>
      <x:c r="F114" s="11" t="str">
        <x:v>NEW</x:v>
      </x:c>
      <x:c r="G114" s="11" t="str">
        <x:v>Compact</x:v>
      </x:c>
      <x:c r="H114" s="11" t="str">
        <x:v>Accessible</x:v>
      </x:c>
      <x:c r="I114" s="11" t="str">
        <x:v>Practical guide</x:v>
      </x:c>
      <x:c r="J114" s="11" t="str">
        <x:v>NEW</x:v>
      </x:c>
      <x:c r="K114" s="11" t="str">
        <x:v>How retrieval practice strengthens long-term recall</x:v>
      </x:c>
    </x:row>
    <x:row r="115" ht="40" customHeight="1">
      <x:c r="A115" s="10" t="n">
        <x:v>9</x:v>
      </x:c>
      <x:c r="B115" s="10" t="n">
        <x:v>1</x:v>
      </x:c>
      <x:c r="C115" s="10" t="str">
        <x:v>ECV2-ART-019</x:v>
      </x:c>
      <x:c r="D115" s="11" t="str">
        <x:v>Articles</x:v>
      </x:c>
      <x:c r="E115" s="11" t="str">
        <x:v>Culture, leisure &amp; everyday life</x:v>
      </x:c>
      <x:c r="F115" s="11" t="str">
        <x:v>NEW</x:v>
      </x:c>
      <x:c r="G115" s="11" t="str">
        <x:v>Extended</x:v>
      </x:c>
      <x:c r="H115" s="11" t="str">
        <x:v>Core</x:v>
      </x:c>
      <x:c r="I115" s="11" t="str">
        <x:v>Feature</x:v>
      </x:c>
      <x:c r="J115" s="11" t="str">
        <x:v>NEW</x:v>
      </x:c>
      <x:c r="K115" s="11" t="str">
        <x:v>How museums decide what remains on display</x:v>
      </x:c>
    </x:row>
    <x:row r="116" ht="40" customHeight="1">
      <x:c r="A116" s="10" t="n">
        <x:v>9</x:v>
      </x:c>
      <x:c r="B116" s="10" t="n">
        <x:v>3</x:v>
      </x:c>
      <x:c r="C116" s="10" t="str">
        <x:v>ECV2-PER-008</x:v>
      </x:c>
      <x:c r="D116" s="11" t="str">
        <x:v>Personal writing</x:v>
      </x:c>
      <x:c r="E116" s="11" t="str">
        <x:v>Education &amp; learning</x:v>
      </x:c>
      <x:c r="F116" s="11" t="str">
        <x:v>NEW</x:v>
      </x:c>
      <x:c r="G116" s="11" t="str">
        <x:v>Standard</x:v>
      </x:c>
      <x:c r="H116" s="11" t="str">
        <x:v>Core</x:v>
      </x:c>
      <x:c r="I116" s="11" t="str">
        <x:v>Personal narrative</x:v>
      </x:c>
      <x:c r="J116" s="11" t="str">
        <x:v>NEW</x:v>
      </x:c>
      <x:c r="K116" s="11" t="str">
        <x:v>Returning to an evening class after many years</x:v>
      </x:c>
    </x:row>
    <x:row r="117" ht="40" customHeight="1">
      <x:c r="A117" s="10" t="n">
        <x:v>9</x:v>
      </x:c>
      <x:c r="B117" s="10" t="n">
        <x:v>3</x:v>
      </x:c>
      <x:c r="C117" s="10" t="str">
        <x:v>ECV2-PER-012</x:v>
      </x:c>
      <x:c r="D117" s="11" t="str">
        <x:v>Personal writing</x:v>
      </x:c>
      <x:c r="E117" s="11" t="str">
        <x:v>Transport, housing &amp; places</x:v>
      </x:c>
      <x:c r="F117" s="11" t="str">
        <x:v>NEW</x:v>
      </x:c>
      <x:c r="G117" s="11" t="str">
        <x:v>Standard</x:v>
      </x:c>
      <x:c r="H117" s="11" t="str">
        <x:v>Core</x:v>
      </x:c>
      <x:c r="I117" s="11" t="str">
        <x:v>Place or travel vignette</x:v>
      </x:c>
      <x:c r="J117" s="11" t="str">
        <x:v>NEW</x:v>
      </x:c>
      <x:c r="K117" s="11" t="str">
        <x:v>The last bus home during a night of heavy rain</x:v>
      </x:c>
    </x:row>
    <x:row r="118" ht="40" customHeight="1">
      <x:c r="A118" s="10" t="n">
        <x:v>9</x:v>
      </x:c>
      <x:c r="B118" s="10" t="n">
        <x:v>5</x:v>
      </x:c>
      <x:c r="C118" s="10" t="str">
        <x:v>ECV2-NEW-002</x:v>
      </x:c>
      <x:c r="D118" s="11" t="str">
        <x:v>News</x:v>
      </x:c>
      <x:c r="E118" s="11" t="str">
        <x:v>Work &amp; organisations</x:v>
      </x:c>
      <x:c r="F118" s="11" t="str">
        <x:v>NEW</x:v>
      </x:c>
      <x:c r="G118" s="11" t="str">
        <x:v>Standard</x:v>
      </x:c>
      <x:c r="H118" s="11" t="str">
        <x:v>Core</x:v>
      </x:c>
      <x:c r="I118" s="11" t="str">
        <x:v>Interview-led report</x:v>
      </x:c>
      <x:c r="J118" s="11" t="str">
        <x:v>NEW</x:v>
      </x:c>
      <x:c r="K118" s="11" t="str">
        <x:v>A four-day rota trial begins at a regional manufacturer</x:v>
      </x:c>
    </x:row>
    <x:row r="119" ht="40" customHeight="1">
      <x:c r="A119" s="10" t="n">
        <x:v>9</x:v>
      </x:c>
      <x:c r="B119" s="10" t="n">
        <x:v>5</x:v>
      </x:c>
      <x:c r="C119" s="10" t="str">
        <x:v>ECV2-NEW-009</x:v>
      </x:c>
      <x:c r="D119" s="11" t="str">
        <x:v>News</x:v>
      </x:c>
      <x:c r="E119" s="11" t="str">
        <x:v>Environment &amp; sustainability</x:v>
      </x:c>
      <x:c r="F119" s="11" t="str">
        <x:v>Rewrite completely</x:v>
      </x:c>
      <x:c r="G119" s="11" t="str">
        <x:v>Standard</x:v>
      </x:c>
      <x:c r="H119" s="11" t="str">
        <x:v>Core</x:v>
      </x:c>
      <x:c r="I119" s="11" t="str">
        <x:v>Public-service report</x:v>
      </x:c>
      <x:c r="J119" s="11" t="str">
        <x:v>Districts Open Heat Shelters Under New Summer Plan</x:v>
      </x:c>
      <x:c r="K119" s="11" t="str">
        <x:v>Districts open heat shelters under a coordinated summer plan</x:v>
      </x:c>
    </x:row>
    <x:row r="120" ht="40" customHeight="1">
      <x:c r="A120" s="10" t="n">
        <x:v>9</x:v>
      </x:c>
      <x:c r="B120" s="10" t="n">
        <x:v>7</x:v>
      </x:c>
      <x:c r="C120" s="10" t="str">
        <x:v>ECV2-BUS-003</x:v>
      </x:c>
      <x:c r="D120" s="11" t="str">
        <x:v>Business communication</x:v>
      </x:c>
      <x:c r="E120" s="11" t="str">
        <x:v>Technology &amp; digital life</x:v>
      </x:c>
      <x:c r="F120" s="11" t="str">
        <x:v>Expand</x:v>
      </x:c>
      <x:c r="G120" s="11" t="str">
        <x:v>Compact</x:v>
      </x:c>
      <x:c r="H120" s="11" t="str">
        <x:v>Accessible</x:v>
      </x:c>
      <x:c r="I120" s="11" t="str">
        <x:v>Customer or stakeholder response</x:v>
      </x:c>
      <x:c r="J120" s="11" t="str">
        <x:v>Reading Before Responding</x:v>
      </x:c>
      <x:c r="K120" s="11" t="str">
        <x:v>Responding only after identifying the decision in a complex message</x:v>
      </x:c>
    </x:row>
    <x:row r="121" ht="40" customHeight="1">
      <x:c r="A121" s="10" t="n">
        <x:v>9</x:v>
      </x:c>
      <x:c r="B121" s="10" t="n">
        <x:v>7</x:v>
      </x:c>
      <x:c r="C121" s="10" t="str">
        <x:v>ECV2-BUS-016</x:v>
      </x:c>
      <x:c r="D121" s="11" t="str">
        <x:v>Business communication</x:v>
      </x:c>
      <x:c r="E121" s="11" t="str">
        <x:v>Public services &amp; civic life</x:v>
      </x:c>
      <x:c r="F121" s="11" t="str">
        <x:v>NEW</x:v>
      </x:c>
      <x:c r="G121" s="11" t="str">
        <x:v>Standard</x:v>
      </x:c>
      <x:c r="H121" s="11" t="str">
        <x:v>Challenging</x:v>
      </x:c>
      <x:c r="I121" s="11" t="str">
        <x:v>Progress update</x:v>
      </x:c>
      <x:c r="J121" s="11" t="str">
        <x:v>NEW</x:v>
      </x:c>
      <x:c r="K121" s="11" t="str">
        <x:v>Updating a partner organisation on a grant-reporting milestone</x:v>
      </x:c>
    </x:row>
    <x:row r="122" ht="40" customHeight="1">
      <x:c r="A122" s="10" t="n">
        <x:v>9</x:v>
      </x:c>
      <x:c r="B122" s="10" t="n">
        <x:v>9</x:v>
      </x:c>
      <x:c r="C122" s="10" t="str">
        <x:v>ECV2-GOV-001</x:v>
      </x:c>
      <x:c r="D122" s="11" t="str">
        <x:v>Government &amp; public information</x:v>
      </x:c>
      <x:c r="E122" s="11" t="str">
        <x:v>Work &amp; organisations</x:v>
      </x:c>
      <x:c r="F122" s="11" t="str">
        <x:v>NEW</x:v>
      </x:c>
      <x:c r="G122" s="11" t="str">
        <x:v>Compact</x:v>
      </x:c>
      <x:c r="H122" s="11" t="str">
        <x:v>Accessible</x:v>
      </x:c>
      <x:c r="I122" s="11" t="str">
        <x:v>Service guidance</x:v>
      </x:c>
      <x:c r="J122" s="11" t="str">
        <x:v>NEW</x:v>
      </x:c>
      <x:c r="K122" s="11" t="str">
        <x:v>Guidance for reporting unsafe working conditions</x:v>
      </x:c>
    </x:row>
    <x:row r="123" ht="40" customHeight="1">
      <x:c r="A123" s="10" t="n">
        <x:v>9</x:v>
      </x:c>
      <x:c r="B123" s="10" t="n">
        <x:v>9</x:v>
      </x:c>
      <x:c r="C123" s="10" t="str">
        <x:v>ECV2-GOV-017</x:v>
      </x:c>
      <x:c r="D123" s="11" t="str">
        <x:v>Government &amp; public information</x:v>
      </x:c>
      <x:c r="E123" s="11" t="str">
        <x:v>Family, community &amp; relationships</x:v>
      </x:c>
      <x:c r="F123" s="11" t="str">
        <x:v>NEW</x:v>
      </x:c>
      <x:c r="G123" s="11" t="str">
        <x:v>Standard</x:v>
      </x:c>
      <x:c r="H123" s="11" t="str">
        <x:v>Core</x:v>
      </x:c>
      <x:c r="I123" s="11" t="str">
        <x:v>Consultation summary</x:v>
      </x:c>
      <x:c r="J123" s="11" t="str">
        <x:v>NEW</x:v>
      </x:c>
      <x:c r="K123" s="11" t="str">
        <x:v>Consultation findings on support for kinship carers</x:v>
      </x:c>
    </x:row>
    <x:row r="124" ht="40" customHeight="1">
      <x:c r="A124" s="10" t="n">
        <x:v>9</x:v>
      </x:c>
      <x:c r="B124" s="10" t="n">
        <x:v>11</x:v>
      </x:c>
      <x:c r="C124" s="10" t="str">
        <x:v>ECV2-PRO-005</x:v>
      </x:c>
      <x:c r="D124" s="11" t="str">
        <x:v>Proposals &amp; tenders</x:v>
      </x:c>
      <x:c r="E124" s="11" t="str">
        <x:v>Health &amp; wellbeing</x:v>
      </x:c>
      <x:c r="F124" s="11" t="str">
        <x:v>Rewrite completely</x:v>
      </x:c>
      <x:c r="G124" s="11" t="str">
        <x:v>Extended</x:v>
      </x:c>
      <x:c r="H124" s="11" t="str">
        <x:v>Core</x:v>
      </x:c>
      <x:c r="I124" s="11" t="str">
        <x:v>Executive summary</x:v>
      </x:c>
      <x:c r="J124" s="11" t="str">
        <x:v>Community Health Outreach Proposal</x:v>
      </x:c>
      <x:c r="K124" s="11" t="str">
        <x:v>A preventive health outreach service for underserved districts</x:v>
      </x:c>
    </x:row>
    <x:row r="125" ht="40" customHeight="1">
      <x:c r="A125" s="10" t="n">
        <x:v>9</x:v>
      </x:c>
      <x:c r="B125" s="10" t="n">
        <x:v>11</x:v>
      </x:c>
      <x:c r="C125" s="10" t="str">
        <x:v>ECV2-PRO-014</x:v>
      </x:c>
      <x:c r="D125" s="11" t="str">
        <x:v>Proposals &amp; tenders</x:v>
      </x:c>
      <x:c r="E125" s="11" t="str">
        <x:v>Money &amp; the economy</x:v>
      </x:c>
      <x:c r="F125" s="11" t="str">
        <x:v>NEW</x:v>
      </x:c>
      <x:c r="G125" s="11" t="str">
        <x:v>Standard</x:v>
      </x:c>
      <x:c r="H125" s="11" t="str">
        <x:v>Challenging</x:v>
      </x:c>
      <x:c r="I125" s="11" t="str">
        <x:v>Risk and quality plan</x:v>
      </x:c>
      <x:c r="J125" s="11" t="str">
        <x:v>NEW</x:v>
      </x:c>
      <x:c r="K125" s="11" t="str">
        <x:v>A procurement-savings review based on supplier collaboration</x:v>
      </x:c>
    </x:row>
    <x:row r="126" ht="40" customHeight="1">
      <x:c r="A126" s="10" t="n">
        <x:v>9</x:v>
      </x:c>
      <x:c r="B126" s="10" t="n">
        <x:v>13</x:v>
      </x:c>
      <x:c r="C126" s="10" t="str">
        <x:v>ECV2-LEG-004</x:v>
      </x:c>
      <x:c r="D126" s="11" t="str">
        <x:v>Legal &amp; contracts</x:v>
      </x:c>
      <x:c r="E126" s="11" t="str">
        <x:v>Technology &amp; digital life</x:v>
      </x:c>
      <x:c r="F126" s="11" t="str">
        <x:v>Rewrite completely</x:v>
      </x:c>
      <x:c r="G126" s="11" t="str">
        <x:v>Extended</x:v>
      </x:c>
      <x:c r="H126" s="11" t="str">
        <x:v>Challenging</x:v>
      </x:c>
      <x:c r="I126" s="11" t="str">
        <x:v>Compliance or remedy provision</x:v>
      </x:c>
      <x:c r="J126" s="11" t="str">
        <x:v>Responsible Artificial Intelligence Procurement Terms</x:v>
      </x:c>
      <x:c r="K126" s="11" t="str">
        <x:v>Remedies and exit support for high-impact AI procurement</x:v>
      </x:c>
    </x:row>
    <x:row r="127" ht="40" customHeight="1">
      <x:c r="A127" s="10" t="n">
        <x:v>9</x:v>
      </x:c>
      <x:c r="B127" s="10" t="n">
        <x:v>13</x:v>
      </x:c>
      <x:c r="C127" s="10" t="str">
        <x:v>ECV2-LEG-017</x:v>
      </x:c>
      <x:c r="D127" s="11" t="str">
        <x:v>Legal &amp; contracts</x:v>
      </x:c>
      <x:c r="E127" s="11" t="str">
        <x:v>Family, community &amp; relationships</x:v>
      </x:c>
      <x:c r="F127" s="11" t="str">
        <x:v>NEW</x:v>
      </x:c>
      <x:c r="G127" s="11" t="str">
        <x:v>Standard</x:v>
      </x:c>
      <x:c r="H127" s="11" t="str">
        <x:v>Core</x:v>
      </x:c>
      <x:c r="I127" s="11" t="str">
        <x:v>Core clause</x:v>
      </x:c>
      <x:c r="J127" s="11" t="str">
        <x:v>NEW</x:v>
      </x:c>
      <x:c r="K127" s="11" t="str">
        <x:v>A core agreement allocating shared-care expenses</x:v>
      </x:c>
    </x:row>
    <x:row r="128" ht="40" customHeight="1">
      <x:c r="A128" s="10" t="n">
        <x:v>10</x:v>
      </x:c>
      <x:c r="B128" s="10" t="n">
        <x:v>1</x:v>
      </x:c>
      <x:c r="C128" s="10" t="str">
        <x:v>ECV2-ART-003</x:v>
      </x:c>
      <x:c r="D128" s="11" t="str">
        <x:v>Articles</x:v>
      </x:c>
      <x:c r="E128" s="11" t="str">
        <x:v>Technology &amp; digital life</x:v>
      </x:c>
      <x:c r="F128" s="11" t="str">
        <x:v>NEW</x:v>
      </x:c>
      <x:c r="G128" s="11" t="str">
        <x:v>Standard</x:v>
      </x:c>
      <x:c r="H128" s="11" t="str">
        <x:v>Core</x:v>
      </x:c>
      <x:c r="I128" s="11" t="str">
        <x:v>Explainer</x:v>
      </x:c>
      <x:c r="J128" s="11" t="str">
        <x:v>NEW</x:v>
      </x:c>
      <x:c r="K128" s="11" t="str">
        <x:v>What passwordless sign-in changes for ordinary users</x:v>
      </x:c>
    </x:row>
    <x:row r="129" ht="40" customHeight="1">
      <x:c r="A129" s="10" t="n">
        <x:v>10</x:v>
      </x:c>
      <x:c r="B129" s="10" t="n">
        <x:v>1</x:v>
      </x:c>
      <x:c r="C129" s="10" t="str">
        <x:v>ECV2-ART-016</x:v>
      </x:c>
      <x:c r="D129" s="11" t="str">
        <x:v>Articles</x:v>
      </x:c>
      <x:c r="E129" s="11" t="str">
        <x:v>Public services &amp; civic life</x:v>
      </x:c>
      <x:c r="F129" s="11" t="str">
        <x:v>NEW</x:v>
      </x:c>
      <x:c r="G129" s="11" t="str">
        <x:v>Standard</x:v>
      </x:c>
      <x:c r="H129" s="11" t="str">
        <x:v>Challenging</x:v>
      </x:c>
      <x:c r="I129" s="11" t="str">
        <x:v>Opinion &amp; commentary</x:v>
      </x:c>
      <x:c r="J129" s="11" t="str">
        <x:v>NEW</x:v>
      </x:c>
      <x:c r="K129" s="11" t="str">
        <x:v>What public service standards can and cannot guarantee</x:v>
      </x:c>
    </x:row>
    <x:row r="130" ht="40" customHeight="1">
      <x:c r="A130" s="10" t="n">
        <x:v>10</x:v>
      </x:c>
      <x:c r="B130" s="10" t="n">
        <x:v>3</x:v>
      </x:c>
      <x:c r="C130" s="10" t="str">
        <x:v>ECV2-PER-011</x:v>
      </x:c>
      <x:c r="D130" s="11" t="str">
        <x:v>Personal writing</x:v>
      </x:c>
      <x:c r="E130" s="11" t="str">
        <x:v>Transport, housing &amp; places</x:v>
      </x:c>
      <x:c r="F130" s="11" t="str">
        <x:v>Rewrite completely</x:v>
      </x:c>
      <x:c r="G130" s="11" t="str">
        <x:v>Standard</x:v>
      </x:c>
      <x:c r="H130" s="11" t="str">
        <x:v>Accessible</x:v>
      </x:c>
      <x:c r="I130" s="11" t="str">
        <x:v>Place or travel vignette</x:v>
      </x:c>
      <x:c r="J130" s="11" t="str">
        <x:v>What a Neighbourhood Walk Can Teach You</x:v>
      </x:c>
      <x:c r="K130" s="11" t="str">
        <x:v>What repeated neighbourhood walks revealed over time</x:v>
      </x:c>
    </x:row>
    <x:row r="131" ht="40" customHeight="1">
      <x:c r="A131" s="10" t="n">
        <x:v>10</x:v>
      </x:c>
      <x:c r="B131" s="10" t="n">
        <x:v>3</x:v>
      </x:c>
      <x:c r="C131" s="10" t="str">
        <x:v>ECV2-PER-018</x:v>
      </x:c>
      <x:c r="D131" s="11" t="str">
        <x:v>Personal writing</x:v>
      </x:c>
      <x:c r="E131" s="11" t="str">
        <x:v>Family, community &amp; relationships</x:v>
      </x:c>
      <x:c r="F131" s="11" t="str">
        <x:v>NEW</x:v>
      </x:c>
      <x:c r="G131" s="11" t="str">
        <x:v>Extended</x:v>
      </x:c>
      <x:c r="H131" s="11" t="str">
        <x:v>Core</x:v>
      </x:c>
      <x:c r="I131" s="11" t="str">
        <x:v>Personal correspondence</x:v>
      </x:c>
      <x:c r="J131" s="11" t="str">
        <x:v>NEW</x:v>
      </x:c>
      <x:c r="K131" s="11" t="str">
        <x:v>Passing a family recipe to someone cooking it for the first time</x:v>
      </x:c>
    </x:row>
    <x:row r="132" ht="40" customHeight="1">
      <x:c r="A132" s="10" t="n">
        <x:v>10</x:v>
      </x:c>
      <x:c r="B132" s="10" t="n">
        <x:v>5</x:v>
      </x:c>
      <x:c r="C132" s="10" t="str">
        <x:v>ECV2-NEW-006</x:v>
      </x:c>
      <x:c r="D132" s="11" t="str">
        <x:v>News</x:v>
      </x:c>
      <x:c r="E132" s="11" t="str">
        <x:v>Health &amp; wellbeing</x:v>
      </x:c>
      <x:c r="F132" s="11" t="str">
        <x:v>NEW</x:v>
      </x:c>
      <x:c r="G132" s="11" t="str">
        <x:v>Standard</x:v>
      </x:c>
      <x:c r="H132" s="11" t="str">
        <x:v>Challenging</x:v>
      </x:c>
      <x:c r="I132" s="11" t="str">
        <x:v>Data-led report</x:v>
      </x:c>
      <x:c r="J132" s="11" t="str">
        <x:v>NEW</x:v>
      </x:c>
      <x:c r="K132" s="11" t="str">
        <x:v>New figures show fewer children receiving routine dental checks</x:v>
      </x:c>
    </x:row>
    <x:row r="133" ht="40" customHeight="1">
      <x:c r="A133" s="10" t="n">
        <x:v>10</x:v>
      </x:c>
      <x:c r="B133" s="10" t="n">
        <x:v>5</x:v>
      </x:c>
      <x:c r="C133" s="10" t="str">
        <x:v>ECV2-NEW-019</x:v>
      </x:c>
      <x:c r="D133" s="11" t="str">
        <x:v>News</x:v>
      </x:c>
      <x:c r="E133" s="11" t="str">
        <x:v>Culture, leisure &amp; everyday life</x:v>
      </x:c>
      <x:c r="F133" s="11" t="str">
        <x:v>Reclassify</x:v>
      </x:c>
      <x:c r="G133" s="11" t="str">
        <x:v>Compact</x:v>
      </x:c>
      <x:c r="H133" s="11" t="str">
        <x:v>Accessible</x:v>
      </x:c>
      <x:c r="I133" s="11" t="str">
        <x:v>Straight report</x:v>
      </x:c>
      <x:c r="J133" s="11" t="str">
        <x:v>A Library Open After Dark</x:v>
      </x:c>
      <x:c r="K133" s="11" t="str">
        <x:v>A district library starts a six-month late-opening pilot</x:v>
      </x:c>
    </x:row>
    <x:row r="134" ht="40" customHeight="1">
      <x:c r="A134" s="10" t="n">
        <x:v>10</x:v>
      </x:c>
      <x:c r="B134" s="10" t="n">
        <x:v>7</x:v>
      </x:c>
      <x:c r="C134" s="10" t="str">
        <x:v>ECV2-BUS-008</x:v>
      </x:c>
      <x:c r="D134" s="11" t="str">
        <x:v>Business communication</x:v>
      </x:c>
      <x:c r="E134" s="11" t="str">
        <x:v>Education &amp; learning</x:v>
      </x:c>
      <x:c r="F134" s="11" t="str">
        <x:v>NEW</x:v>
      </x:c>
      <x:c r="G134" s="11" t="str">
        <x:v>Standard</x:v>
      </x:c>
      <x:c r="H134" s="11" t="str">
        <x:v>Core</x:v>
      </x:c>
      <x:c r="I134" s="11" t="str">
        <x:v>Handover note</x:v>
      </x:c>
      <x:c r="J134" s="11" t="str">
        <x:v>NEW</x:v>
      </x:c>
      <x:c r="K134" s="11" t="str">
        <x:v>Handing an induction programme to a regional team</x:v>
      </x:c>
    </x:row>
    <x:row r="135" ht="40" customHeight="1">
      <x:c r="A135" s="10" t="n">
        <x:v>10</x:v>
      </x:c>
      <x:c r="B135" s="10" t="n">
        <x:v>7</x:v>
      </x:c>
      <x:c r="C135" s="10" t="str">
        <x:v>ECV2-BUS-013</x:v>
      </x:c>
      <x:c r="D135" s="11" t="str">
        <x:v>Business communication</x:v>
      </x:c>
      <x:c r="E135" s="11" t="str">
        <x:v>Money &amp; the economy</x:v>
      </x:c>
      <x:c r="F135" s="11" t="str">
        <x:v>Rewrite completely</x:v>
      </x:c>
      <x:c r="G135" s="11" t="str">
        <x:v>Compact</x:v>
      </x:c>
      <x:c r="H135" s="11" t="str">
        <x:v>Core</x:v>
      </x:c>
      <x:c r="I135" s="11" t="str">
        <x:v>Decision request</x:v>
      </x:c>
      <x:c r="J135" s="11" t="str">
        <x:v>Requesting a Decision Without Creating Pressure</x:v>
      </x:c>
      <x:c r="K135" s="11" t="str">
        <x:v>Requesting a timely budget decision without creating pressure</x:v>
      </x:c>
    </x:row>
    <x:row r="136" ht="40" customHeight="1">
      <x:c r="A136" s="10" t="n">
        <x:v>10</x:v>
      </x:c>
      <x:c r="B136" s="10" t="n">
        <x:v>9</x:v>
      </x:c>
      <x:c r="C136" s="10" t="str">
        <x:v>ECV2-GOV-004</x:v>
      </x:c>
      <x:c r="D136" s="11" t="str">
        <x:v>Government &amp; public information</x:v>
      </x:c>
      <x:c r="E136" s="11" t="str">
        <x:v>Technology &amp; digital life</x:v>
      </x:c>
      <x:c r="F136" s="11" t="str">
        <x:v>NEW</x:v>
      </x:c>
      <x:c r="G136" s="11" t="str">
        <x:v>Standard</x:v>
      </x:c>
      <x:c r="H136" s="11" t="str">
        <x:v>Accessible</x:v>
      </x:c>
      <x:c r="I136" s="11" t="str">
        <x:v>Public notice</x:v>
      </x:c>
      <x:c r="J136" s="11" t="str">
        <x:v>NEW</x:v>
      </x:c>
      <x:c r="K136" s="11" t="str">
        <x:v>A public notice explaining changes to online account recovery</x:v>
      </x:c>
    </x:row>
    <x:row r="137" ht="40" customHeight="1">
      <x:c r="A137" s="10" t="n">
        <x:v>10</x:v>
      </x:c>
      <x:c r="B137" s="10" t="n">
        <x:v>9</x:v>
      </x:c>
      <x:c r="C137" s="10" t="str">
        <x:v>ECV2-GOV-010</x:v>
      </x:c>
      <x:c r="D137" s="11" t="str">
        <x:v>Government &amp; public information</x:v>
      </x:c>
      <x:c r="E137" s="11" t="str">
        <x:v>Environment &amp; sustainability</x:v>
      </x:c>
      <x:c r="F137" s="11" t="str">
        <x:v>NEW</x:v>
      </x:c>
      <x:c r="G137" s="11" t="str">
        <x:v>Standard</x:v>
      </x:c>
      <x:c r="H137" s="11" t="str">
        <x:v>Accessible</x:v>
      </x:c>
      <x:c r="I137" s="11" t="str">
        <x:v>Service guidance</x:v>
      </x:c>
      <x:c r="J137" s="11" t="str">
        <x:v>NEW</x:v>
      </x:c>
      <x:c r="K137" s="11" t="str">
        <x:v>Guidance for joining a household food-waste collection service</x:v>
      </x:c>
    </x:row>
    <x:row r="138" ht="40" customHeight="1">
      <x:c r="A138" s="10" t="n">
        <x:v>10</x:v>
      </x:c>
      <x:c r="B138" s="10" t="n">
        <x:v>11</x:v>
      </x:c>
      <x:c r="C138" s="10" t="str">
        <x:v>ECV2-PRO-010</x:v>
      </x:c>
      <x:c r="D138" s="11" t="str">
        <x:v>Proposals &amp; tenders</x:v>
      </x:c>
      <x:c r="E138" s="11" t="str">
        <x:v>Environment &amp; sustainability</x:v>
      </x:c>
      <x:c r="F138" s="11" t="str">
        <x:v>Rewrite completely</x:v>
      </x:c>
      <x:c r="G138" s="11" t="str">
        <x:v>Extended</x:v>
      </x:c>
      <x:c r="H138" s="11" t="str">
        <x:v>Challenging</x:v>
      </x:c>
      <x:c r="I138" s="11" t="str">
        <x:v>Implementation plan</x:v>
      </x:c>
      <x:c r="J138" s="11" t="str">
        <x:v>Residential Energy Retrofit Programme</x:v>
      </x:c>
      <x:c r="K138" s="11" t="str">
        <x:v>An energy-retrofit programme for ageing residential buildings</x:v>
      </x:c>
    </x:row>
    <x:row r="139" ht="40" customHeight="1">
      <x:c r="A139" s="10" t="n">
        <x:v>10</x:v>
      </x:c>
      <x:c r="B139" s="10" t="n">
        <x:v>11</x:v>
      </x:c>
      <x:c r="C139" s="10" t="str">
        <x:v>ECV2-PRO-012</x:v>
      </x:c>
      <x:c r="D139" s="11" t="str">
        <x:v>Proposals &amp; tenders</x:v>
      </x:c>
      <x:c r="E139" s="11" t="str">
        <x:v>Transport, housing &amp; places</x:v>
      </x:c>
      <x:c r="F139" s="11" t="str">
        <x:v>NEW</x:v>
      </x:c>
      <x:c r="G139" s="11" t="str">
        <x:v>Compact</x:v>
      </x:c>
      <x:c r="H139" s="11" t="str">
        <x:v>Core</x:v>
      </x:c>
      <x:c r="I139" s="11" t="str">
        <x:v>Requirements response</x:v>
      </x:c>
      <x:c r="J139" s="11" t="str">
        <x:v>NEW</x:v>
      </x:c>
      <x:c r="K139" s="11" t="str">
        <x:v>An accessible wayfinding upgrade for a transport interchange</x:v>
      </x:c>
    </x:row>
    <x:row r="140" ht="40" customHeight="1">
      <x:c r="A140" s="10" t="n">
        <x:v>10</x:v>
      </x:c>
      <x:c r="B140" s="10" t="n">
        <x:v>13</x:v>
      </x:c>
      <x:c r="C140" s="10" t="str">
        <x:v>ECV2-LEG-002</x:v>
      </x:c>
      <x:c r="D140" s="11" t="str">
        <x:v>Legal &amp; contracts</x:v>
      </x:c>
      <x:c r="E140" s="11" t="str">
        <x:v>Work &amp; organisations</x:v>
      </x:c>
      <x:c r="F140" s="11" t="str">
        <x:v>NEW</x:v>
      </x:c>
      <x:c r="G140" s="11" t="str">
        <x:v>Standard</x:v>
      </x:c>
      <x:c r="H140" s="11" t="str">
        <x:v>Core</x:v>
      </x:c>
      <x:c r="I140" s="11" t="str">
        <x:v>Responsibilities schedule</x:v>
      </x:c>
      <x:c r="J140" s="11" t="str">
        <x:v>NEW</x:v>
      </x:c>
      <x:c r="K140" s="11" t="str">
        <x:v>Allocating remote-working equipment responsibilities</x:v>
      </x:c>
    </x:row>
    <x:row r="141" ht="40" customHeight="1">
      <x:c r="A141" s="10" t="n">
        <x:v>10</x:v>
      </x:c>
      <x:c r="B141" s="10" t="n">
        <x:v>13</x:v>
      </x:c>
      <x:c r="C141" s="10" t="str">
        <x:v>ECV2-LEG-006</x:v>
      </x:c>
      <x:c r="D141" s="11" t="str">
        <x:v>Legal &amp; contracts</x:v>
      </x:c>
      <x:c r="E141" s="11" t="str">
        <x:v>Health &amp; wellbeing</x:v>
      </x:c>
      <x:c r="F141" s="11" t="str">
        <x:v>NEW</x:v>
      </x:c>
      <x:c r="G141" s="11" t="str">
        <x:v>Extended</x:v>
      </x:c>
      <x:c r="H141" s="11" t="str">
        <x:v>Core</x:v>
      </x:c>
      <x:c r="I141" s="11" t="str">
        <x:v>Compliance or remedy provision</x:v>
      </x:c>
      <x:c r="J141" s="11" t="str">
        <x:v>NEW</x:v>
      </x:c>
      <x:c r="K141" s="11" t="str">
        <x:v>Service-level remedies for missed home-care visits</x:v>
      </x:c>
    </x:row>
  </x:sheetData>
  <x:pageMargins left="0.7" right="0.7" top="0.75" bottom="0.75" header="0.3" footer="0.3"/>
  <x:tableParts count="1">
    <x:tablePart xmlns:r="http://schemas.openxmlformats.org/officeDocument/2006/relationships" r:id="R3fa281aacffa46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60" hidden="0" customWidth="1"/>
    <x:col min="16" max="16" width="48" hidden="0" customWidth="1"/>
  </x:cols>
  <x:sheetData>
    <x:row r="1" ht="32" customHeight="1">
      <x:c r="A1" s="12" t="str">
        <x:v>Batch balance summary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</x:row>
    <x:row r="3" ht="34" customHeight="1">
      <x:c r="A3" s="15" t="str">
        <x:v>Batch</x:v>
      </x:c>
      <x:c r="B3" s="15" t="str">
        <x:v>Total</x:v>
      </x:c>
      <x:c r="C3" s="15" t="str">
        <x:v>Topics</x:v>
      </x:c>
      <x:c r="D3" s="15" t="str">
        <x:v>NEW</x:v>
      </x:c>
      <x:c r="E3" s="15" t="str">
        <x:v>Rewrite</x:v>
      </x:c>
      <x:c r="F3" s="15" t="str">
        <x:v>Expand</x:v>
      </x:c>
      <x:c r="G3" s="15" t="str">
        <x:v>Reclassify</x:v>
      </x:c>
      <x:c r="H3" s="15" t="str">
        <x:v>Compact</x:v>
      </x:c>
      <x:c r="I3" s="15" t="str">
        <x:v>Standard</x:v>
      </x:c>
      <x:c r="J3" s="15" t="str">
        <x:v>Extended</x:v>
      </x:c>
      <x:c r="K3" s="15" t="str">
        <x:v>Accessible</x:v>
      </x:c>
      <x:c r="L3" s="15" t="str">
        <x:v>Core</x:v>
      </x:c>
      <x:c r="M3" s="15" t="str">
        <x:v>Challenging</x:v>
      </x:c>
      <x:c r="N3" s="15" t="str">
        <x:v>Rare work</x:v>
      </x:c>
      <x:c r="O3" s="15" t="str">
        <x:v>Topic pattern</x:v>
      </x:c>
      <x:c r="P3" s="15" t="str">
        <x:v>Notes</x:v>
      </x:c>
    </x:row>
    <x:row r="4" ht="42" customHeight="1">
      <x:c r="A4" s="16" t="n">
        <x:v>1</x:v>
      </x:c>
      <x:c r="B4" s="16" t="n">
        <x:v>14</x:v>
      </x:c>
      <x:c r="C4" s="16" t="n">
        <x:v>10</x:v>
      </x:c>
      <x:c r="D4" s="16" t="n">
        <x:v>10</x:v>
      </x:c>
      <x:c r="E4" s="16" t="n">
        <x:v>3</x:v>
      </x:c>
      <x:c r="F4" s="16" t="n">
        <x:v>1</x:v>
      </x:c>
      <x:c r="G4" s="16" t="n">
        <x:v>0</x:v>
      </x:c>
      <x:c r="H4" s="16" t="n">
        <x:v>4</x:v>
      </x:c>
      <x:c r="I4" s="16" t="n">
        <x:v>7</x:v>
      </x:c>
      <x:c r="J4" s="16" t="n">
        <x:v>3</x:v>
      </x:c>
      <x:c r="K4" s="16" t="n">
        <x:v>5</x:v>
      </x:c>
      <x:c r="L4" s="16" t="n">
        <x:v>4</x:v>
      </x:c>
      <x:c r="M4" s="16" t="n">
        <x:v>5</x:v>
      </x:c>
      <x:c r="N4" s="16" t="n">
        <x:v>1</x:v>
      </x:c>
      <x:c r="O4" s="17" t="str">
        <x:v>Work &amp; organisations; Technology &amp; digital life; Transport, housing &amp; places; Money &amp; the economy</x:v>
      </x:c>
      <x:c r="P4" s="17" t="str">
        <x:v>Approved exception: both News briefs are Public-service reports; all other Category pairs differ</x:v>
      </x:c>
    </x:row>
    <x:row r="5" ht="42" customHeight="1">
      <x:c r="A5" s="16" t="n">
        <x:v>2</x:v>
      </x:c>
      <x:c r="B5" s="16" t="n">
        <x:v>14</x:v>
      </x:c>
      <x:c r="C5" s="16" t="n">
        <x:v>10</x:v>
      </x:c>
      <x:c r="D5" s="16" t="n">
        <x:v>10</x:v>
      </x:c>
      <x:c r="E5" s="16" t="n">
        <x:v>3</x:v>
      </x:c>
      <x:c r="F5" s="16" t="n">
        <x:v>1</x:v>
      </x:c>
      <x:c r="G5" s="16" t="n">
        <x:v>0</x:v>
      </x:c>
      <x:c r="H5" s="16" t="n">
        <x:v>3</x:v>
      </x:c>
      <x:c r="I5" s="16" t="n">
        <x:v>7</x:v>
      </x:c>
      <x:c r="J5" s="16" t="n">
        <x:v>4</x:v>
      </x:c>
      <x:c r="K5" s="16" t="n">
        <x:v>3</x:v>
      </x:c>
      <x:c r="L5" s="16" t="n">
        <x:v>8</x:v>
      </x:c>
      <x:c r="M5" s="16" t="n">
        <x:v>3</x:v>
      </x:c>
      <x:c r="N5" s="16" t="n">
        <x:v>1</x:v>
      </x:c>
      <x:c r="O5" s="17" t="str">
        <x:v>Public services &amp; civic life; Culture, leisure &amp; everyday life</x:v>
      </x:c>
      <x:c r="P5" s="17" t="str">
        <x:v>All Categories 2 each; no same-direction Category pair</x:v>
      </x:c>
    </x:row>
    <x:row r="6" ht="42" customHeight="1">
      <x:c r="A6" s="16" t="n">
        <x:v>3</x:v>
      </x:c>
      <x:c r="B6" s="16" t="n">
        <x:v>14</x:v>
      </x:c>
      <x:c r="C6" s="16" t="n">
        <x:v>10</x:v>
      </x:c>
      <x:c r="D6" s="16" t="n">
        <x:v>10</x:v>
      </x:c>
      <x:c r="E6" s="16" t="n">
        <x:v>3</x:v>
      </x:c>
      <x:c r="F6" s="16" t="n">
        <x:v>1</x:v>
      </x:c>
      <x:c r="G6" s="16" t="n">
        <x:v>0</x:v>
      </x:c>
      <x:c r="H6" s="16" t="n">
        <x:v>2</x:v>
      </x:c>
      <x:c r="I6" s="16" t="n">
        <x:v>8</x:v>
      </x:c>
      <x:c r="J6" s="16" t="n">
        <x:v>4</x:v>
      </x:c>
      <x:c r="K6" s="16" t="n">
        <x:v>3</x:v>
      </x:c>
      <x:c r="L6" s="16" t="n">
        <x:v>8</x:v>
      </x:c>
      <x:c r="M6" s="16" t="n">
        <x:v>3</x:v>
      </x:c>
      <x:c r="N6" s="16" t="n">
        <x:v>1</x:v>
      </x:c>
      <x:c r="O6" s="17" t="str">
        <x:v>Education &amp; learning; Environment &amp; sustainability; Money &amp; the economy; Family, community &amp; relationships</x:v>
      </x:c>
      <x:c r="P6" s="17" t="str">
        <x:v>All Categories 2 each; no same-direction Category pair</x:v>
      </x:c>
    </x:row>
    <x:row r="7" ht="42" customHeight="1">
      <x:c r="A7" s="16" t="n">
        <x:v>4</x:v>
      </x:c>
      <x:c r="B7" s="16" t="n">
        <x:v>14</x:v>
      </x:c>
      <x:c r="C7" s="16" t="n">
        <x:v>10</x:v>
      </x:c>
      <x:c r="D7" s="16" t="n">
        <x:v>10</x:v>
      </x:c>
      <x:c r="E7" s="16" t="n">
        <x:v>3</x:v>
      </x:c>
      <x:c r="F7" s="16" t="n">
        <x:v>1</x:v>
      </x:c>
      <x:c r="G7" s="16" t="n">
        <x:v>0</x:v>
      </x:c>
      <x:c r="H7" s="16" t="n">
        <x:v>3</x:v>
      </x:c>
      <x:c r="I7" s="16" t="n">
        <x:v>8</x:v>
      </x:c>
      <x:c r="J7" s="16" t="n">
        <x:v>3</x:v>
      </x:c>
      <x:c r="K7" s="16" t="n">
        <x:v>4</x:v>
      </x:c>
      <x:c r="L7" s="16" t="n">
        <x:v>7</x:v>
      </x:c>
      <x:c r="M7" s="16" t="n">
        <x:v>3</x:v>
      </x:c>
      <x:c r="N7" s="16" t="n">
        <x:v>1</x:v>
      </x:c>
      <x:c r="O7" s="17" t="str">
        <x:v>Health &amp; wellbeing; Environment &amp; sustainability; Money &amp; the economy; Culture, leisure &amp; everyday life</x:v>
      </x:c>
      <x:c r="P7" s="17" t="str">
        <x:v>All Categories 2 each; no same-direction Category pair</x:v>
      </x:c>
    </x:row>
    <x:row r="8" ht="42" customHeight="1">
      <x:c r="A8" s="16" t="n">
        <x:v>5</x:v>
      </x:c>
      <x:c r="B8" s="16" t="n">
        <x:v>14</x:v>
      </x:c>
      <x:c r="C8" s="16" t="n">
        <x:v>10</x:v>
      </x:c>
      <x:c r="D8" s="16" t="n">
        <x:v>10</x:v>
      </x:c>
      <x:c r="E8" s="16" t="n">
        <x:v>3</x:v>
      </x:c>
      <x:c r="F8" s="16" t="n">
        <x:v>0</x:v>
      </x:c>
      <x:c r="G8" s="16" t="n">
        <x:v>1</x:v>
      </x:c>
      <x:c r="H8" s="16" t="n">
        <x:v>2</x:v>
      </x:c>
      <x:c r="I8" s="16" t="n">
        <x:v>8</x:v>
      </x:c>
      <x:c r="J8" s="16" t="n">
        <x:v>4</x:v>
      </x:c>
      <x:c r="K8" s="16" t="n">
        <x:v>4</x:v>
      </x:c>
      <x:c r="L8" s="16" t="n">
        <x:v>7</x:v>
      </x:c>
      <x:c r="M8" s="16" t="n">
        <x:v>3</x:v>
      </x:c>
      <x:c r="N8" s="16" t="n">
        <x:v>1</x:v>
      </x:c>
      <x:c r="O8" s="17" t="str">
        <x:v>Technology &amp; digital life; Health &amp; wellbeing; Money &amp; the economy; Culture, leisure &amp; everyday life</x:v>
      </x:c>
      <x:c r="P8" s="17" t="str">
        <x:v>All Categories 2 each; no same-direction Category pair</x:v>
      </x:c>
    </x:row>
    <x:row r="9" ht="42" customHeight="1">
      <x:c r="A9" s="16" t="n">
        <x:v>6</x:v>
      </x:c>
      <x:c r="B9" s="16" t="n">
        <x:v>14</x:v>
      </x:c>
      <x:c r="C9" s="16" t="n">
        <x:v>10</x:v>
      </x:c>
      <x:c r="D9" s="16" t="n">
        <x:v>10</x:v>
      </x:c>
      <x:c r="E9" s="16" t="n">
        <x:v>3</x:v>
      </x:c>
      <x:c r="F9" s="16" t="n">
        <x:v>0</x:v>
      </x:c>
      <x:c r="G9" s="16" t="n">
        <x:v>1</x:v>
      </x:c>
      <x:c r="H9" s="16" t="n">
        <x:v>3</x:v>
      </x:c>
      <x:c r="I9" s="16" t="n">
        <x:v>8</x:v>
      </x:c>
      <x:c r="J9" s="16" t="n">
        <x:v>3</x:v>
      </x:c>
      <x:c r="K9" s="16" t="n">
        <x:v>3</x:v>
      </x:c>
      <x:c r="L9" s="16" t="n">
        <x:v>7</x:v>
      </x:c>
      <x:c r="M9" s="16" t="n">
        <x:v>4</x:v>
      </x:c>
      <x:c r="N9" s="16" t="n">
        <x:v>1</x:v>
      </x:c>
      <x:c r="O9" s="17" t="str">
        <x:v>Health &amp; wellbeing; Public services &amp; civic life</x:v>
      </x:c>
      <x:c r="P9" s="17" t="str">
        <x:v>All Categories 2 each; no same-direction Category pair</x:v>
      </x:c>
    </x:row>
    <x:row r="10" ht="42" customHeight="1">
      <x:c r="A10" s="16" t="n">
        <x:v>7</x:v>
      </x:c>
      <x:c r="B10" s="16" t="n">
        <x:v>14</x:v>
      </x:c>
      <x:c r="C10" s="16" t="n">
        <x:v>10</x:v>
      </x:c>
      <x:c r="D10" s="16" t="n">
        <x:v>10</x:v>
      </x:c>
      <x:c r="E10" s="16" t="n">
        <x:v>3</x:v>
      </x:c>
      <x:c r="F10" s="16" t="n">
        <x:v>0</x:v>
      </x:c>
      <x:c r="G10" s="16" t="n">
        <x:v>1</x:v>
      </x:c>
      <x:c r="H10" s="16" t="n">
        <x:v>2</x:v>
      </x:c>
      <x:c r="I10" s="16" t="n">
        <x:v>8</x:v>
      </x:c>
      <x:c r="J10" s="16" t="n">
        <x:v>4</x:v>
      </x:c>
      <x:c r="K10" s="16" t="n">
        <x:v>3</x:v>
      </x:c>
      <x:c r="L10" s="16" t="n">
        <x:v>7</x:v>
      </x:c>
      <x:c r="M10" s="16" t="n">
        <x:v>4</x:v>
      </x:c>
      <x:c r="N10" s="16" t="n">
        <x:v>1</x:v>
      </x:c>
      <x:c r="O10" s="17" t="str">
        <x:v>Public services &amp; civic life; Family, community &amp; relationships</x:v>
      </x:c>
      <x:c r="P10" s="17" t="str">
        <x:v>All Categories 2 each; no same-direction Category pair</x:v>
      </x:c>
    </x:row>
    <x:row r="11" ht="42" customHeight="1">
      <x:c r="A11" s="16" t="n">
        <x:v>8</x:v>
      </x:c>
      <x:c r="B11" s="16" t="n">
        <x:v>14</x:v>
      </x:c>
      <x:c r="C11" s="16" t="n">
        <x:v>10</x:v>
      </x:c>
      <x:c r="D11" s="16" t="n">
        <x:v>10</x:v>
      </x:c>
      <x:c r="E11" s="16" t="n">
        <x:v>3</x:v>
      </x:c>
      <x:c r="F11" s="16" t="n">
        <x:v>1</x:v>
      </x:c>
      <x:c r="G11" s="16" t="n">
        <x:v>0</x:v>
      </x:c>
      <x:c r="H11" s="16" t="n">
        <x:v>3</x:v>
      </x:c>
      <x:c r="I11" s="16" t="n">
        <x:v>8</x:v>
      </x:c>
      <x:c r="J11" s="16" t="n">
        <x:v>3</x:v>
      </x:c>
      <x:c r="K11" s="16" t="n">
        <x:v>3</x:v>
      </x:c>
      <x:c r="L11" s="16" t="n">
        <x:v>7</x:v>
      </x:c>
      <x:c r="M11" s="16" t="n">
        <x:v>4</x:v>
      </x:c>
      <x:c r="N11" s="16" t="n">
        <x:v>1</x:v>
      </x:c>
      <x:c r="O11" s="17" t="str">
        <x:v>Environment &amp; sustainability; Public services &amp; civic life; Family, community &amp; relationships; Culture, leisure &amp; everyday life</x:v>
      </x:c>
      <x:c r="P11" s="17" t="str">
        <x:v>All Categories 2 each; no same-direction Category pair</x:v>
      </x:c>
    </x:row>
    <x:row r="12" ht="42" customHeight="1">
      <x:c r="A12" s="16" t="n">
        <x:v>9</x:v>
      </x:c>
      <x:c r="B12" s="16" t="n">
        <x:v>14</x:v>
      </x:c>
      <x:c r="C12" s="16" t="n">
        <x:v>10</x:v>
      </x:c>
      <x:c r="D12" s="16" t="n">
        <x:v>10</x:v>
      </x:c>
      <x:c r="E12" s="16" t="n">
        <x:v>3</x:v>
      </x:c>
      <x:c r="F12" s="16" t="n">
        <x:v>1</x:v>
      </x:c>
      <x:c r="G12" s="16" t="n">
        <x:v>0</x:v>
      </x:c>
      <x:c r="H12" s="16" t="n">
        <x:v>3</x:v>
      </x:c>
      <x:c r="I12" s="16" t="n">
        <x:v>8</x:v>
      </x:c>
      <x:c r="J12" s="16" t="n">
        <x:v>3</x:v>
      </x:c>
      <x:c r="K12" s="16" t="n">
        <x:v>3</x:v>
      </x:c>
      <x:c r="L12" s="16" t="n">
        <x:v>8</x:v>
      </x:c>
      <x:c r="M12" s="16" t="n">
        <x:v>3</x:v>
      </x:c>
      <x:c r="N12" s="16" t="n">
        <x:v>1</x:v>
      </x:c>
      <x:c r="O12" s="17" t="str">
        <x:v>Work &amp; organisations; Technology &amp; digital life; Education &amp; learning; Family, community &amp; relationships</x:v>
      </x:c>
      <x:c r="P12" s="17" t="str">
        <x:v>All Categories 2 each; no same-direction Category pair</x:v>
      </x:c>
    </x:row>
    <x:row r="13" ht="42" customHeight="1">
      <x:c r="A13" s="16" t="n">
        <x:v>10</x:v>
      </x:c>
      <x:c r="B13" s="16" t="n">
        <x:v>14</x:v>
      </x:c>
      <x:c r="C13" s="16" t="n">
        <x:v>10</x:v>
      </x:c>
      <x:c r="D13" s="16" t="n">
        <x:v>10</x:v>
      </x:c>
      <x:c r="E13" s="16" t="n">
        <x:v>3</x:v>
      </x:c>
      <x:c r="F13" s="16" t="n">
        <x:v>0</x:v>
      </x:c>
      <x:c r="G13" s="16" t="n">
        <x:v>1</x:v>
      </x:c>
      <x:c r="H13" s="16" t="n">
        <x:v>3</x:v>
      </x:c>
      <x:c r="I13" s="16" t="n">
        <x:v>8</x:v>
      </x:c>
      <x:c r="J13" s="16" t="n">
        <x:v>3</x:v>
      </x:c>
      <x:c r="K13" s="16" t="n">
        <x:v>4</x:v>
      </x:c>
      <x:c r="L13" s="16" t="n">
        <x:v>7</x:v>
      </x:c>
      <x:c r="M13" s="16" t="n">
        <x:v>3</x:v>
      </x:c>
      <x:c r="N13" s="16" t="n">
        <x:v>1</x:v>
      </x:c>
      <x:c r="O13" s="17" t="str">
        <x:v>Technology &amp; digital life; Health &amp; wellbeing; Environment &amp; sustainability; Transport, housing &amp; places</x:v>
      </x:c>
      <x:c r="P13" s="17" t="str">
        <x:v>All Categories 2 each; no same-direction Category pair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571571091c4849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14" hidden="0" customWidth="1"/>
    <x:col min="5" max="5" width="14" hidden="0" customWidth="1"/>
  </x:cols>
  <x:sheetData>
    <x:row r="1" ht="32" customHeight="1">
      <x:c r="A1" s="12" t="str">
        <x:v>Schedule validation</x:v>
      </x:c>
      <x:c r="B1" s="12"/>
      <x:c r="C1" s="12"/>
      <x:c r="D1" s="12"/>
    </x:row>
    <x:row r="3">
      <x:c r="A3" s="18" t="str">
        <x:v>Check</x:v>
      </x:c>
      <x:c r="B3" s="18" t="str">
        <x:v>Expected</x:v>
      </x:c>
      <x:c r="C3" s="18" t="str">
        <x:v>Actual</x:v>
      </x:c>
      <x:c r="D3" s="18" t="str">
        <x:v>Status</x:v>
      </x:c>
      <x:c r="E3" s="16"/>
    </x:row>
    <x:row r="4">
      <x:c r="A4" s="16" t="str">
        <x:v>Total assignments</x:v>
      </x:c>
      <x:c r="B4" s="16" t="n">
        <x:v>140</x:v>
      </x:c>
      <x:c r="C4" s="16" t="n">
        <x:f>COUNTA('Schedule'!$C$2:$C$141)</x:f>
        <x:v>140</x:v>
      </x:c>
      <x:c r="D4" s="16" t="str">
        <x:f>IF(C4=B4,"PASS","FAIL")</x:f>
        <x:v>PASS</x:v>
      </x:c>
      <x:c r="E4" s="16"/>
    </x:row>
    <x:row r="5">
      <x:c r="A5" s="16" t="str">
        <x:v>Approved Batch 1 assignments</x:v>
      </x:c>
      <x:c r="B5" s="16" t="n">
        <x:v>14</x:v>
      </x:c>
      <x:c r="C5" s="16" t="n">
        <x:f>COUNTIF('Schedule'!$A$2:$A$141,1)</x:f>
        <x:v>14</x:v>
      </x:c>
      <x:c r="D5" s="16" t="str">
        <x:f>IF(C5=B5,"PASS","FAIL")</x:f>
        <x:v>PASS</x:v>
      </x:c>
      <x:c r="E5" s="16"/>
    </x:row>
    <x:row r="6">
      <x:c r="A6" s="16" t="str">
        <x:v>Distinct Brief IDs</x:v>
      </x:c>
      <x:c r="B6" s="16" t="n">
        <x:v>140</x:v>
      </x:c>
      <x:c r="C6" s="16" t="n">
        <x:v>140</x:v>
      </x:c>
      <x:c r="D6" s="16" t="str">
        <x:f>IF(C6=B6,"PASS","FAIL")</x:f>
        <x:v>PASS</x:v>
      </x:c>
      <x:c r="E6" s="16"/>
    </x:row>
    <x:row r="7">
      <x:c r="A7" s="16"/>
      <x:c r="B7" s="16"/>
      <x:c r="C7" s="16"/>
      <x:c r="D7" s="16"/>
      <x:c r="E7" s="16"/>
    </x:row>
    <x:row r="8">
      <x:c r="A8" s="18" t="str">
        <x:v>Batch</x:v>
      </x:c>
      <x:c r="B8" s="18" t="str">
        <x:v>Expected total</x:v>
      </x:c>
      <x:c r="C8" s="18" t="str">
        <x:v>Actual total</x:v>
      </x:c>
      <x:c r="D8" s="18" t="str">
        <x:v>Status</x:v>
      </x:c>
      <x:c r="E8" s="16"/>
    </x:row>
    <x:row r="9">
      <x:c r="A9" s="16" t="n">
        <x:v>1</x:v>
      </x:c>
      <x:c r="B9" s="16" t="n">
        <x:v>14</x:v>
      </x:c>
      <x:c r="C9" s="16" t="n">
        <x:f>COUNTIF('Schedule'!$A$2:$A$141,A9)</x:f>
        <x:v>14</x:v>
      </x:c>
      <x:c r="D9" s="16" t="str">
        <x:f>IF(C9=B9,"PASS","FAIL")</x:f>
        <x:v>PASS</x:v>
      </x:c>
      <x:c r="E9" s="16"/>
    </x:row>
    <x:row r="10">
      <x:c r="A10" s="16" t="n">
        <x:v>2</x:v>
      </x:c>
      <x:c r="B10" s="16" t="n">
        <x:v>14</x:v>
      </x:c>
      <x:c r="C10" s="16" t="n">
        <x:f>COUNTIF('Schedule'!$A$2:$A$141,A10)</x:f>
        <x:v>14</x:v>
      </x:c>
      <x:c r="D10" s="16" t="str">
        <x:f>IF(C10=B10,"PASS","FAIL")</x:f>
        <x:v>PASS</x:v>
      </x:c>
      <x:c r="E10" s="16"/>
    </x:row>
    <x:row r="11">
      <x:c r="A11" s="16" t="n">
        <x:v>3</x:v>
      </x:c>
      <x:c r="B11" s="16" t="n">
        <x:v>14</x:v>
      </x:c>
      <x:c r="C11" s="16" t="n">
        <x:f>COUNTIF('Schedule'!$A$2:$A$141,A11)</x:f>
        <x:v>14</x:v>
      </x:c>
      <x:c r="D11" s="16" t="str">
        <x:f>IF(C11=B11,"PASS","FAIL")</x:f>
        <x:v>PASS</x:v>
      </x:c>
      <x:c r="E11" s="16"/>
    </x:row>
    <x:row r="12">
      <x:c r="A12" s="16" t="n">
        <x:v>4</x:v>
      </x:c>
      <x:c r="B12" s="16" t="n">
        <x:v>14</x:v>
      </x:c>
      <x:c r="C12" s="16" t="n">
        <x:f>COUNTIF('Schedule'!$A$2:$A$141,A12)</x:f>
        <x:v>14</x:v>
      </x:c>
      <x:c r="D12" s="16" t="str">
        <x:f>IF(C12=B12,"PASS","FAIL")</x:f>
        <x:v>PASS</x:v>
      </x:c>
      <x:c r="E12" s="16"/>
    </x:row>
    <x:row r="13">
      <x:c r="A13" s="16" t="n">
        <x:v>5</x:v>
      </x:c>
      <x:c r="B13" s="16" t="n">
        <x:v>14</x:v>
      </x:c>
      <x:c r="C13" s="16" t="n">
        <x:f>COUNTIF('Schedule'!$A$2:$A$141,A13)</x:f>
        <x:v>14</x:v>
      </x:c>
      <x:c r="D13" s="16" t="str">
        <x:f>IF(C13=B13,"PASS","FAIL")</x:f>
        <x:v>PASS</x:v>
      </x:c>
      <x:c r="E13" s="16"/>
    </x:row>
    <x:row r="14">
      <x:c r="A14" s="16" t="n">
        <x:v>6</x:v>
      </x:c>
      <x:c r="B14" s="16" t="n">
        <x:v>14</x:v>
      </x:c>
      <x:c r="C14" s="16" t="n">
        <x:f>COUNTIF('Schedule'!$A$2:$A$141,A14)</x:f>
        <x:v>14</x:v>
      </x:c>
      <x:c r="D14" s="16" t="str">
        <x:f>IF(C14=B14,"PASS","FAIL")</x:f>
        <x:v>PASS</x:v>
      </x:c>
      <x:c r="E14" s="16"/>
    </x:row>
    <x:row r="15">
      <x:c r="A15" s="16" t="n">
        <x:v>7</x:v>
      </x:c>
      <x:c r="B15" s="16" t="n">
        <x:v>14</x:v>
      </x:c>
      <x:c r="C15" s="16" t="n">
        <x:f>COUNTIF('Schedule'!$A$2:$A$141,A15)</x:f>
        <x:v>14</x:v>
      </x:c>
      <x:c r="D15" s="16" t="str">
        <x:f>IF(C15=B15,"PASS","FAIL")</x:f>
        <x:v>PASS</x:v>
      </x:c>
      <x:c r="E15" s="16"/>
    </x:row>
    <x:row r="16">
      <x:c r="A16" s="16" t="n">
        <x:v>8</x:v>
      </x:c>
      <x:c r="B16" s="16" t="n">
        <x:v>14</x:v>
      </x:c>
      <x:c r="C16" s="16" t="n">
        <x:f>COUNTIF('Schedule'!$A$2:$A$141,A16)</x:f>
        <x:v>14</x:v>
      </x:c>
      <x:c r="D16" s="16" t="str">
        <x:f>IF(C16=B16,"PASS","FAIL")</x:f>
        <x:v>PASS</x:v>
      </x:c>
      <x:c r="E16" s="16"/>
    </x:row>
    <x:row r="17">
      <x:c r="A17" s="16" t="n">
        <x:v>9</x:v>
      </x:c>
      <x:c r="B17" s="16" t="n">
        <x:v>14</x:v>
      </x:c>
      <x:c r="C17" s="16" t="n">
        <x:f>COUNTIF('Schedule'!$A$2:$A$141,A17)</x:f>
        <x:v>14</x:v>
      </x:c>
      <x:c r="D17" s="16" t="str">
        <x:f>IF(C17=B17,"PASS","FAIL")</x:f>
        <x:v>PASS</x:v>
      </x:c>
      <x:c r="E17" s="16"/>
    </x:row>
    <x:row r="18">
      <x:c r="A18" s="16" t="n">
        <x:v>10</x:v>
      </x:c>
      <x:c r="B18" s="16" t="n">
        <x:v>14</x:v>
      </x:c>
      <x:c r="C18" s="16" t="n">
        <x:f>COUNTIF('Schedule'!$A$2:$A$141,A18)</x:f>
        <x:v>14</x:v>
      </x:c>
      <x:c r="D18" s="16" t="str">
        <x:f>IF(C18=B18,"PASS","FAIL")</x:f>
        <x:v>PASS</x:v>
      </x:c>
      <x:c r="E18" s="16"/>
    </x:row>
    <x:row r="19">
      <x:c r="A19" s="16"/>
      <x:c r="B19" s="16"/>
      <x:c r="C19" s="16"/>
      <x:c r="D19" s="16"/>
      <x:c r="E19" s="16"/>
    </x:row>
    <x:row r="20">
      <x:c r="A20" s="18" t="str">
        <x:v>Batch</x:v>
      </x:c>
      <x:c r="B20" s="18" t="str">
        <x:v>Category</x:v>
      </x:c>
      <x:c r="C20" s="18" t="str">
        <x:v>Expected</x:v>
      </x:c>
      <x:c r="D20" s="18" t="str">
        <x:v>Actual</x:v>
      </x:c>
      <x:c r="E20" s="18" t="str">
        <x:v>Status</x:v>
      </x:c>
    </x:row>
    <x:row r="21">
      <x:c r="A21" s="16" t="n">
        <x:v>1</x:v>
      </x:c>
      <x:c r="B21" s="16" t="str">
        <x:v>Articles</x:v>
      </x:c>
      <x:c r="C21" s="16" t="n">
        <x:v>2</x:v>
      </x:c>
      <x:c r="D21" s="16" t="n">
        <x:f>COUNTIFS('Schedule'!$A$2:$A$141,A21,'Schedule'!$D$2:$D$141,B21)</x:f>
        <x:v>2</x:v>
      </x:c>
      <x:c r="E21" s="16" t="str">
        <x:f>IF(D21=C21,"PASS","FAIL")</x:f>
        <x:v>PASS</x:v>
      </x:c>
    </x:row>
    <x:row r="22">
      <x:c r="A22" s="16" t="n">
        <x:v>1</x:v>
      </x:c>
      <x:c r="B22" s="16" t="str">
        <x:v>Personal writing</x:v>
      </x:c>
      <x:c r="C22" s="16" t="n">
        <x:v>2</x:v>
      </x:c>
      <x:c r="D22" s="16" t="n">
        <x:f>COUNTIFS('Schedule'!$A$2:$A$141,A22,'Schedule'!$D$2:$D$141,B22)</x:f>
        <x:v>2</x:v>
      </x:c>
      <x:c r="E22" s="16" t="str">
        <x:f>IF(D22=C22,"PASS","FAIL")</x:f>
        <x:v>PASS</x:v>
      </x:c>
    </x:row>
    <x:row r="23">
      <x:c r="A23" s="16" t="n">
        <x:v>1</x:v>
      </x:c>
      <x:c r="B23" s="16" t="str">
        <x:v>News</x:v>
      </x:c>
      <x:c r="C23" s="16" t="n">
        <x:v>2</x:v>
      </x:c>
      <x:c r="D23" s="16" t="n">
        <x:f>COUNTIFS('Schedule'!$A$2:$A$141,A23,'Schedule'!$D$2:$D$141,B23)</x:f>
        <x:v>2</x:v>
      </x:c>
      <x:c r="E23" s="16" t="str">
        <x:f>IF(D23=C23,"PASS","FAIL")</x:f>
        <x:v>PASS</x:v>
      </x:c>
    </x:row>
    <x:row r="24">
      <x:c r="A24" s="16" t="n">
        <x:v>1</x:v>
      </x:c>
      <x:c r="B24" s="16" t="str">
        <x:v>Business communication</x:v>
      </x:c>
      <x:c r="C24" s="16" t="n">
        <x:v>2</x:v>
      </x:c>
      <x:c r="D24" s="16" t="n">
        <x:f>COUNTIFS('Schedule'!$A$2:$A$141,A24,'Schedule'!$D$2:$D$141,B24)</x:f>
        <x:v>2</x:v>
      </x:c>
      <x:c r="E24" s="16" t="str">
        <x:f>IF(D24=C24,"PASS","FAIL")</x:f>
        <x:v>PASS</x:v>
      </x:c>
    </x:row>
    <x:row r="25">
      <x:c r="A25" s="16" t="n">
        <x:v>1</x:v>
      </x:c>
      <x:c r="B25" s="16" t="str">
        <x:v>Government &amp; public information</x:v>
      </x:c>
      <x:c r="C25" s="16" t="n">
        <x:v>2</x:v>
      </x:c>
      <x:c r="D25" s="16" t="n">
        <x:f>COUNTIFS('Schedule'!$A$2:$A$141,A25,'Schedule'!$D$2:$D$141,B25)</x:f>
        <x:v>2</x:v>
      </x:c>
      <x:c r="E25" s="16" t="str">
        <x:f>IF(D25=C25,"PASS","FAIL")</x:f>
        <x:v>PASS</x:v>
      </x:c>
    </x:row>
    <x:row r="26">
      <x:c r="A26" s="16" t="n">
        <x:v>1</x:v>
      </x:c>
      <x:c r="B26" s="16" t="str">
        <x:v>Proposals &amp; tenders</x:v>
      </x:c>
      <x:c r="C26" s="16" t="n">
        <x:v>2</x:v>
      </x:c>
      <x:c r="D26" s="16" t="n">
        <x:f>COUNTIFS('Schedule'!$A$2:$A$141,A26,'Schedule'!$D$2:$D$141,B26)</x:f>
        <x:v>2</x:v>
      </x:c>
      <x:c r="E26" s="16" t="str">
        <x:f>IF(D26=C26,"PASS","FAIL")</x:f>
        <x:v>PASS</x:v>
      </x:c>
    </x:row>
    <x:row r="27">
      <x:c r="A27" s="16" t="n">
        <x:v>1</x:v>
      </x:c>
      <x:c r="B27" s="16" t="str">
        <x:v>Legal &amp; contracts</x:v>
      </x:c>
      <x:c r="C27" s="16" t="n">
        <x:v>2</x:v>
      </x:c>
      <x:c r="D27" s="16" t="n">
        <x:f>COUNTIFS('Schedule'!$A$2:$A$141,A27,'Schedule'!$D$2:$D$141,B27)</x:f>
        <x:v>2</x:v>
      </x:c>
      <x:c r="E27" s="16" t="str">
        <x:f>IF(D27=C27,"PASS","FAIL")</x:f>
        <x:v>PASS</x:v>
      </x:c>
    </x:row>
    <x:row r="28">
      <x:c r="A28" s="16" t="n">
        <x:v>2</x:v>
      </x:c>
      <x:c r="B28" s="16" t="str">
        <x:v>Articles</x:v>
      </x:c>
      <x:c r="C28" s="16" t="n">
        <x:v>2</x:v>
      </x:c>
      <x:c r="D28" s="16" t="n">
        <x:f>COUNTIFS('Schedule'!$A$2:$A$141,A28,'Schedule'!$D$2:$D$141,B28)</x:f>
        <x:v>2</x:v>
      </x:c>
      <x:c r="E28" s="16" t="str">
        <x:f>IF(D28=C28,"PASS","FAIL")</x:f>
        <x:v>PASS</x:v>
      </x:c>
    </x:row>
    <x:row r="29">
      <x:c r="A29" s="16" t="n">
        <x:v>2</x:v>
      </x:c>
      <x:c r="B29" s="16" t="str">
        <x:v>Personal writing</x:v>
      </x:c>
      <x:c r="C29" s="16" t="n">
        <x:v>2</x:v>
      </x:c>
      <x:c r="D29" s="16" t="n">
        <x:f>COUNTIFS('Schedule'!$A$2:$A$141,A29,'Schedule'!$D$2:$D$141,B29)</x:f>
        <x:v>2</x:v>
      </x:c>
      <x:c r="E29" s="16" t="str">
        <x:f>IF(D29=C29,"PASS","FAIL")</x:f>
        <x:v>PASS</x:v>
      </x:c>
    </x:row>
    <x:row r="30">
      <x:c r="A30" s="16" t="n">
        <x:v>2</x:v>
      </x:c>
      <x:c r="B30" s="16" t="str">
        <x:v>News</x:v>
      </x:c>
      <x:c r="C30" s="16" t="n">
        <x:v>2</x:v>
      </x:c>
      <x:c r="D30" s="16" t="n">
        <x:f>COUNTIFS('Schedule'!$A$2:$A$141,A30,'Schedule'!$D$2:$D$141,B30)</x:f>
        <x:v>2</x:v>
      </x:c>
      <x:c r="E30" s="16" t="str">
        <x:f>IF(D30=C30,"PASS","FAIL")</x:f>
        <x:v>PASS</x:v>
      </x:c>
    </x:row>
    <x:row r="31">
      <x:c r="A31" s="16" t="n">
        <x:v>2</x:v>
      </x:c>
      <x:c r="B31" s="16" t="str">
        <x:v>Business communication</x:v>
      </x:c>
      <x:c r="C31" s="16" t="n">
        <x:v>2</x:v>
      </x:c>
      <x:c r="D31" s="16" t="n">
        <x:f>COUNTIFS('Schedule'!$A$2:$A$141,A31,'Schedule'!$D$2:$D$141,B31)</x:f>
        <x:v>2</x:v>
      </x:c>
      <x:c r="E31" s="16" t="str">
        <x:f>IF(D31=C31,"PASS","FAIL")</x:f>
        <x:v>PASS</x:v>
      </x:c>
    </x:row>
    <x:row r="32">
      <x:c r="A32" s="16" t="n">
        <x:v>2</x:v>
      </x:c>
      <x:c r="B32" s="16" t="str">
        <x:v>Government &amp; public information</x:v>
      </x:c>
      <x:c r="C32" s="16" t="n">
        <x:v>2</x:v>
      </x:c>
      <x:c r="D32" s="16" t="n">
        <x:f>COUNTIFS('Schedule'!$A$2:$A$141,A32,'Schedule'!$D$2:$D$141,B32)</x:f>
        <x:v>2</x:v>
      </x:c>
      <x:c r="E32" s="16" t="str">
        <x:f>IF(D32=C32,"PASS","FAIL")</x:f>
        <x:v>PASS</x:v>
      </x:c>
    </x:row>
    <x:row r="33">
      <x:c r="A33" s="16" t="n">
        <x:v>2</x:v>
      </x:c>
      <x:c r="B33" s="16" t="str">
        <x:v>Proposals &amp; tenders</x:v>
      </x:c>
      <x:c r="C33" s="16" t="n">
        <x:v>2</x:v>
      </x:c>
      <x:c r="D33" s="16" t="n">
        <x:f>COUNTIFS('Schedule'!$A$2:$A$141,A33,'Schedule'!$D$2:$D$141,B33)</x:f>
        <x:v>2</x:v>
      </x:c>
      <x:c r="E33" s="16" t="str">
        <x:f>IF(D33=C33,"PASS","FAIL")</x:f>
        <x:v>PASS</x:v>
      </x:c>
    </x:row>
    <x:row r="34">
      <x:c r="A34" s="16" t="n">
        <x:v>2</x:v>
      </x:c>
      <x:c r="B34" s="16" t="str">
        <x:v>Legal &amp; contracts</x:v>
      </x:c>
      <x:c r="C34" s="16" t="n">
        <x:v>2</x:v>
      </x:c>
      <x:c r="D34" s="16" t="n">
        <x:f>COUNTIFS('Schedule'!$A$2:$A$141,A34,'Schedule'!$D$2:$D$141,B34)</x:f>
        <x:v>2</x:v>
      </x:c>
      <x:c r="E34" s="16" t="str">
        <x:f>IF(D34=C34,"PASS","FAIL")</x:f>
        <x:v>PASS</x:v>
      </x:c>
    </x:row>
    <x:row r="35">
      <x:c r="A35" s="16" t="n">
        <x:v>3</x:v>
      </x:c>
      <x:c r="B35" s="16" t="str">
        <x:v>Articles</x:v>
      </x:c>
      <x:c r="C35" s="16" t="n">
        <x:v>2</x:v>
      </x:c>
      <x:c r="D35" s="16" t="n">
        <x:f>COUNTIFS('Schedule'!$A$2:$A$141,A35,'Schedule'!$D$2:$D$141,B35)</x:f>
        <x:v>2</x:v>
      </x:c>
      <x:c r="E35" s="16" t="str">
        <x:f>IF(D35=C35,"PASS","FAIL")</x:f>
        <x:v>PASS</x:v>
      </x:c>
    </x:row>
    <x:row r="36">
      <x:c r="A36" s="16" t="n">
        <x:v>3</x:v>
      </x:c>
      <x:c r="B36" s="16" t="str">
        <x:v>Personal writing</x:v>
      </x:c>
      <x:c r="C36" s="16" t="n">
        <x:v>2</x:v>
      </x:c>
      <x:c r="D36" s="16" t="n">
        <x:f>COUNTIFS('Schedule'!$A$2:$A$141,A36,'Schedule'!$D$2:$D$141,B36)</x:f>
        <x:v>2</x:v>
      </x:c>
      <x:c r="E36" s="16" t="str">
        <x:f>IF(D36=C36,"PASS","FAIL")</x:f>
        <x:v>PASS</x:v>
      </x:c>
    </x:row>
    <x:row r="37">
      <x:c r="A37" s="16" t="n">
        <x:v>3</x:v>
      </x:c>
      <x:c r="B37" s="16" t="str">
        <x:v>News</x:v>
      </x:c>
      <x:c r="C37" s="16" t="n">
        <x:v>2</x:v>
      </x:c>
      <x:c r="D37" s="16" t="n">
        <x:f>COUNTIFS('Schedule'!$A$2:$A$141,A37,'Schedule'!$D$2:$D$141,B37)</x:f>
        <x:v>2</x:v>
      </x:c>
      <x:c r="E37" s="16" t="str">
        <x:f>IF(D37=C37,"PASS","FAIL")</x:f>
        <x:v>PASS</x:v>
      </x:c>
    </x:row>
    <x:row r="38">
      <x:c r="A38" s="16" t="n">
        <x:v>3</x:v>
      </x:c>
      <x:c r="B38" s="16" t="str">
        <x:v>Business communication</x:v>
      </x:c>
      <x:c r="C38" s="16" t="n">
        <x:v>2</x:v>
      </x:c>
      <x:c r="D38" s="16" t="n">
        <x:f>COUNTIFS('Schedule'!$A$2:$A$141,A38,'Schedule'!$D$2:$D$141,B38)</x:f>
        <x:v>2</x:v>
      </x:c>
      <x:c r="E38" s="16" t="str">
        <x:f>IF(D38=C38,"PASS","FAIL")</x:f>
        <x:v>PASS</x:v>
      </x:c>
    </x:row>
    <x:row r="39">
      <x:c r="A39" s="16" t="n">
        <x:v>3</x:v>
      </x:c>
      <x:c r="B39" s="16" t="str">
        <x:v>Government &amp; public information</x:v>
      </x:c>
      <x:c r="C39" s="16" t="n">
        <x:v>2</x:v>
      </x:c>
      <x:c r="D39" s="16" t="n">
        <x:f>COUNTIFS('Schedule'!$A$2:$A$141,A39,'Schedule'!$D$2:$D$141,B39)</x:f>
        <x:v>2</x:v>
      </x:c>
      <x:c r="E39" s="16" t="str">
        <x:f>IF(D39=C39,"PASS","FAIL")</x:f>
        <x:v>PASS</x:v>
      </x:c>
    </x:row>
    <x:row r="40">
      <x:c r="A40" s="16" t="n">
        <x:v>3</x:v>
      </x:c>
      <x:c r="B40" s="16" t="str">
        <x:v>Proposals &amp; tenders</x:v>
      </x:c>
      <x:c r="C40" s="16" t="n">
        <x:v>2</x:v>
      </x:c>
      <x:c r="D40" s="16" t="n">
        <x:f>COUNTIFS('Schedule'!$A$2:$A$141,A40,'Schedule'!$D$2:$D$141,B40)</x:f>
        <x:v>2</x:v>
      </x:c>
      <x:c r="E40" s="16" t="str">
        <x:f>IF(D40=C40,"PASS","FAIL")</x:f>
        <x:v>PASS</x:v>
      </x:c>
    </x:row>
    <x:row r="41">
      <x:c r="A41" s="16" t="n">
        <x:v>3</x:v>
      </x:c>
      <x:c r="B41" s="16" t="str">
        <x:v>Legal &amp; contracts</x:v>
      </x:c>
      <x:c r="C41" s="16" t="n">
        <x:v>2</x:v>
      </x:c>
      <x:c r="D41" s="16" t="n">
        <x:f>COUNTIFS('Schedule'!$A$2:$A$141,A41,'Schedule'!$D$2:$D$141,B41)</x:f>
        <x:v>2</x:v>
      </x:c>
      <x:c r="E41" s="16" t="str">
        <x:f>IF(D41=C41,"PASS","FAIL")</x:f>
        <x:v>PASS</x:v>
      </x:c>
    </x:row>
    <x:row r="42">
      <x:c r="A42" s="16" t="n">
        <x:v>4</x:v>
      </x:c>
      <x:c r="B42" s="16" t="str">
        <x:v>Articles</x:v>
      </x:c>
      <x:c r="C42" s="16" t="n">
        <x:v>2</x:v>
      </x:c>
      <x:c r="D42" s="16" t="n">
        <x:f>COUNTIFS('Schedule'!$A$2:$A$141,A42,'Schedule'!$D$2:$D$141,B42)</x:f>
        <x:v>2</x:v>
      </x:c>
      <x:c r="E42" s="16" t="str">
        <x:f>IF(D42=C42,"PASS","FAIL")</x:f>
        <x:v>PASS</x:v>
      </x:c>
    </x:row>
    <x:row r="43">
      <x:c r="A43" s="16" t="n">
        <x:v>4</x:v>
      </x:c>
      <x:c r="B43" s="16" t="str">
        <x:v>Personal writing</x:v>
      </x:c>
      <x:c r="C43" s="16" t="n">
        <x:v>2</x:v>
      </x:c>
      <x:c r="D43" s="16" t="n">
        <x:f>COUNTIFS('Schedule'!$A$2:$A$141,A43,'Schedule'!$D$2:$D$141,B43)</x:f>
        <x:v>2</x:v>
      </x:c>
      <x:c r="E43" s="16" t="str">
        <x:f>IF(D43=C43,"PASS","FAIL")</x:f>
        <x:v>PASS</x:v>
      </x:c>
    </x:row>
    <x:row r="44">
      <x:c r="A44" s="16" t="n">
        <x:v>4</x:v>
      </x:c>
      <x:c r="B44" s="16" t="str">
        <x:v>News</x:v>
      </x:c>
      <x:c r="C44" s="16" t="n">
        <x:v>2</x:v>
      </x:c>
      <x:c r="D44" s="16" t="n">
        <x:f>COUNTIFS('Schedule'!$A$2:$A$141,A44,'Schedule'!$D$2:$D$141,B44)</x:f>
        <x:v>2</x:v>
      </x:c>
      <x:c r="E44" s="16" t="str">
        <x:f>IF(D44=C44,"PASS","FAIL")</x:f>
        <x:v>PASS</x:v>
      </x:c>
    </x:row>
    <x:row r="45">
      <x:c r="A45" s="16" t="n">
        <x:v>4</x:v>
      </x:c>
      <x:c r="B45" s="16" t="str">
        <x:v>Business communication</x:v>
      </x:c>
      <x:c r="C45" s="16" t="n">
        <x:v>2</x:v>
      </x:c>
      <x:c r="D45" s="16" t="n">
        <x:f>COUNTIFS('Schedule'!$A$2:$A$141,A45,'Schedule'!$D$2:$D$141,B45)</x:f>
        <x:v>2</x:v>
      </x:c>
      <x:c r="E45" s="16" t="str">
        <x:f>IF(D45=C45,"PASS","FAIL")</x:f>
        <x:v>PASS</x:v>
      </x:c>
    </x:row>
    <x:row r="46">
      <x:c r="A46" s="16" t="n">
        <x:v>4</x:v>
      </x:c>
      <x:c r="B46" s="16" t="str">
        <x:v>Government &amp; public information</x:v>
      </x:c>
      <x:c r="C46" s="16" t="n">
        <x:v>2</x:v>
      </x:c>
      <x:c r="D46" s="16" t="n">
        <x:f>COUNTIFS('Schedule'!$A$2:$A$141,A46,'Schedule'!$D$2:$D$141,B46)</x:f>
        <x:v>2</x:v>
      </x:c>
      <x:c r="E46" s="16" t="str">
        <x:f>IF(D46=C46,"PASS","FAIL")</x:f>
        <x:v>PASS</x:v>
      </x:c>
    </x:row>
    <x:row r="47">
      <x:c r="A47" s="16" t="n">
        <x:v>4</x:v>
      </x:c>
      <x:c r="B47" s="16" t="str">
        <x:v>Proposals &amp; tenders</x:v>
      </x:c>
      <x:c r="C47" s="16" t="n">
        <x:v>2</x:v>
      </x:c>
      <x:c r="D47" s="16" t="n">
        <x:f>COUNTIFS('Schedule'!$A$2:$A$141,A47,'Schedule'!$D$2:$D$141,B47)</x:f>
        <x:v>2</x:v>
      </x:c>
      <x:c r="E47" s="16" t="str">
        <x:f>IF(D47=C47,"PASS","FAIL")</x:f>
        <x:v>PASS</x:v>
      </x:c>
    </x:row>
    <x:row r="48">
      <x:c r="A48" s="16" t="n">
        <x:v>4</x:v>
      </x:c>
      <x:c r="B48" s="16" t="str">
        <x:v>Legal &amp; contracts</x:v>
      </x:c>
      <x:c r="C48" s="16" t="n">
        <x:v>2</x:v>
      </x:c>
      <x:c r="D48" s="16" t="n">
        <x:f>COUNTIFS('Schedule'!$A$2:$A$141,A48,'Schedule'!$D$2:$D$141,B48)</x:f>
        <x:v>2</x:v>
      </x:c>
      <x:c r="E48" s="16" t="str">
        <x:f>IF(D48=C48,"PASS","FAIL")</x:f>
        <x:v>PASS</x:v>
      </x:c>
    </x:row>
    <x:row r="49">
      <x:c r="A49" s="16" t="n">
        <x:v>5</x:v>
      </x:c>
      <x:c r="B49" s="16" t="str">
        <x:v>Articles</x:v>
      </x:c>
      <x:c r="C49" s="16" t="n">
        <x:v>2</x:v>
      </x:c>
      <x:c r="D49" s="16" t="n">
        <x:f>COUNTIFS('Schedule'!$A$2:$A$141,A49,'Schedule'!$D$2:$D$141,B49)</x:f>
        <x:v>2</x:v>
      </x:c>
      <x:c r="E49" s="16" t="str">
        <x:f>IF(D49=C49,"PASS","FAIL")</x:f>
        <x:v>PASS</x:v>
      </x:c>
    </x:row>
    <x:row r="50">
      <x:c r="A50" s="16" t="n">
        <x:v>5</x:v>
      </x:c>
      <x:c r="B50" s="16" t="str">
        <x:v>Personal writing</x:v>
      </x:c>
      <x:c r="C50" s="16" t="n">
        <x:v>2</x:v>
      </x:c>
      <x:c r="D50" s="16" t="n">
        <x:f>COUNTIFS('Schedule'!$A$2:$A$141,A50,'Schedule'!$D$2:$D$141,B50)</x:f>
        <x:v>2</x:v>
      </x:c>
      <x:c r="E50" s="16" t="str">
        <x:f>IF(D50=C50,"PASS","FAIL")</x:f>
        <x:v>PASS</x:v>
      </x:c>
    </x:row>
    <x:row r="51">
      <x:c r="A51" s="16" t="n">
        <x:v>5</x:v>
      </x:c>
      <x:c r="B51" s="16" t="str">
        <x:v>News</x:v>
      </x:c>
      <x:c r="C51" s="16" t="n">
        <x:v>2</x:v>
      </x:c>
      <x:c r="D51" s="16" t="n">
        <x:f>COUNTIFS('Schedule'!$A$2:$A$141,A51,'Schedule'!$D$2:$D$141,B51)</x:f>
        <x:v>2</x:v>
      </x:c>
      <x:c r="E51" s="16" t="str">
        <x:f>IF(D51=C51,"PASS","FAIL")</x:f>
        <x:v>PASS</x:v>
      </x:c>
    </x:row>
    <x:row r="52">
      <x:c r="A52" s="16" t="n">
        <x:v>5</x:v>
      </x:c>
      <x:c r="B52" s="16" t="str">
        <x:v>Business communication</x:v>
      </x:c>
      <x:c r="C52" s="16" t="n">
        <x:v>2</x:v>
      </x:c>
      <x:c r="D52" s="16" t="n">
        <x:f>COUNTIFS('Schedule'!$A$2:$A$141,A52,'Schedule'!$D$2:$D$141,B52)</x:f>
        <x:v>2</x:v>
      </x:c>
      <x:c r="E52" s="16" t="str">
        <x:f>IF(D52=C52,"PASS","FAIL")</x:f>
        <x:v>PASS</x:v>
      </x:c>
    </x:row>
    <x:row r="53">
      <x:c r="A53" s="16" t="n">
        <x:v>5</x:v>
      </x:c>
      <x:c r="B53" s="16" t="str">
        <x:v>Government &amp; public information</x:v>
      </x:c>
      <x:c r="C53" s="16" t="n">
        <x:v>2</x:v>
      </x:c>
      <x:c r="D53" s="16" t="n">
        <x:f>COUNTIFS('Schedule'!$A$2:$A$141,A53,'Schedule'!$D$2:$D$141,B53)</x:f>
        <x:v>2</x:v>
      </x:c>
      <x:c r="E53" s="16" t="str">
        <x:f>IF(D53=C53,"PASS","FAIL")</x:f>
        <x:v>PASS</x:v>
      </x:c>
    </x:row>
    <x:row r="54">
      <x:c r="A54" s="16" t="n">
        <x:v>5</x:v>
      </x:c>
      <x:c r="B54" s="16" t="str">
        <x:v>Proposals &amp; tenders</x:v>
      </x:c>
      <x:c r="C54" s="16" t="n">
        <x:v>2</x:v>
      </x:c>
      <x:c r="D54" s="16" t="n">
        <x:f>COUNTIFS('Schedule'!$A$2:$A$141,A54,'Schedule'!$D$2:$D$141,B54)</x:f>
        <x:v>2</x:v>
      </x:c>
      <x:c r="E54" s="16" t="str">
        <x:f>IF(D54=C54,"PASS","FAIL")</x:f>
        <x:v>PASS</x:v>
      </x:c>
    </x:row>
    <x:row r="55">
      <x:c r="A55" s="16" t="n">
        <x:v>5</x:v>
      </x:c>
      <x:c r="B55" s="16" t="str">
        <x:v>Legal &amp; contracts</x:v>
      </x:c>
      <x:c r="C55" s="16" t="n">
        <x:v>2</x:v>
      </x:c>
      <x:c r="D55" s="16" t="n">
        <x:f>COUNTIFS('Schedule'!$A$2:$A$141,A55,'Schedule'!$D$2:$D$141,B55)</x:f>
        <x:v>2</x:v>
      </x:c>
      <x:c r="E55" s="16" t="str">
        <x:f>IF(D55=C55,"PASS","FAIL")</x:f>
        <x:v>PASS</x:v>
      </x:c>
    </x:row>
    <x:row r="56">
      <x:c r="A56" s="16" t="n">
        <x:v>6</x:v>
      </x:c>
      <x:c r="B56" s="16" t="str">
        <x:v>Articles</x:v>
      </x:c>
      <x:c r="C56" s="16" t="n">
        <x:v>2</x:v>
      </x:c>
      <x:c r="D56" s="16" t="n">
        <x:f>COUNTIFS('Schedule'!$A$2:$A$141,A56,'Schedule'!$D$2:$D$141,B56)</x:f>
        <x:v>2</x:v>
      </x:c>
      <x:c r="E56" s="16" t="str">
        <x:f>IF(D56=C56,"PASS","FAIL")</x:f>
        <x:v>PASS</x:v>
      </x:c>
    </x:row>
    <x:row r="57">
      <x:c r="A57" s="16" t="n">
        <x:v>6</x:v>
      </x:c>
      <x:c r="B57" s="16" t="str">
        <x:v>Personal writing</x:v>
      </x:c>
      <x:c r="C57" s="16" t="n">
        <x:v>2</x:v>
      </x:c>
      <x:c r="D57" s="16" t="n">
        <x:f>COUNTIFS('Schedule'!$A$2:$A$141,A57,'Schedule'!$D$2:$D$141,B57)</x:f>
        <x:v>2</x:v>
      </x:c>
      <x:c r="E57" s="16" t="str">
        <x:f>IF(D57=C57,"PASS","FAIL")</x:f>
        <x:v>PASS</x:v>
      </x:c>
    </x:row>
    <x:row r="58">
      <x:c r="A58" s="16" t="n">
        <x:v>6</x:v>
      </x:c>
      <x:c r="B58" s="16" t="str">
        <x:v>News</x:v>
      </x:c>
      <x:c r="C58" s="16" t="n">
        <x:v>2</x:v>
      </x:c>
      <x:c r="D58" s="16" t="n">
        <x:f>COUNTIFS('Schedule'!$A$2:$A$141,A58,'Schedule'!$D$2:$D$141,B58)</x:f>
        <x:v>2</x:v>
      </x:c>
      <x:c r="E58" s="16" t="str">
        <x:f>IF(D58=C58,"PASS","FAIL")</x:f>
        <x:v>PASS</x:v>
      </x:c>
    </x:row>
    <x:row r="59">
      <x:c r="A59" s="16" t="n">
        <x:v>6</x:v>
      </x:c>
      <x:c r="B59" s="16" t="str">
        <x:v>Business communication</x:v>
      </x:c>
      <x:c r="C59" s="16" t="n">
        <x:v>2</x:v>
      </x:c>
      <x:c r="D59" s="16" t="n">
        <x:f>COUNTIFS('Schedule'!$A$2:$A$141,A59,'Schedule'!$D$2:$D$141,B59)</x:f>
        <x:v>2</x:v>
      </x:c>
      <x:c r="E59" s="16" t="str">
        <x:f>IF(D59=C59,"PASS","FAIL")</x:f>
        <x:v>PASS</x:v>
      </x:c>
    </x:row>
    <x:row r="60">
      <x:c r="A60" s="16" t="n">
        <x:v>6</x:v>
      </x:c>
      <x:c r="B60" s="16" t="str">
        <x:v>Government &amp; public information</x:v>
      </x:c>
      <x:c r="C60" s="16" t="n">
        <x:v>2</x:v>
      </x:c>
      <x:c r="D60" s="16" t="n">
        <x:f>COUNTIFS('Schedule'!$A$2:$A$141,A60,'Schedule'!$D$2:$D$141,B60)</x:f>
        <x:v>2</x:v>
      </x:c>
      <x:c r="E60" s="16" t="str">
        <x:f>IF(D60=C60,"PASS","FAIL")</x:f>
        <x:v>PASS</x:v>
      </x:c>
    </x:row>
    <x:row r="61">
      <x:c r="A61" s="16" t="n">
        <x:v>6</x:v>
      </x:c>
      <x:c r="B61" s="16" t="str">
        <x:v>Proposals &amp; tenders</x:v>
      </x:c>
      <x:c r="C61" s="16" t="n">
        <x:v>2</x:v>
      </x:c>
      <x:c r="D61" s="16" t="n">
        <x:f>COUNTIFS('Schedule'!$A$2:$A$141,A61,'Schedule'!$D$2:$D$141,B61)</x:f>
        <x:v>2</x:v>
      </x:c>
      <x:c r="E61" s="16" t="str">
        <x:f>IF(D61=C61,"PASS","FAIL")</x:f>
        <x:v>PASS</x:v>
      </x:c>
    </x:row>
    <x:row r="62">
      <x:c r="A62" s="16" t="n">
        <x:v>6</x:v>
      </x:c>
      <x:c r="B62" s="16" t="str">
        <x:v>Legal &amp; contracts</x:v>
      </x:c>
      <x:c r="C62" s="16" t="n">
        <x:v>2</x:v>
      </x:c>
      <x:c r="D62" s="16" t="n">
        <x:f>COUNTIFS('Schedule'!$A$2:$A$141,A62,'Schedule'!$D$2:$D$141,B62)</x:f>
        <x:v>2</x:v>
      </x:c>
      <x:c r="E62" s="16" t="str">
        <x:f>IF(D62=C62,"PASS","FAIL")</x:f>
        <x:v>PASS</x:v>
      </x:c>
    </x:row>
    <x:row r="63">
      <x:c r="A63" s="16" t="n">
        <x:v>7</x:v>
      </x:c>
      <x:c r="B63" s="16" t="str">
        <x:v>Articles</x:v>
      </x:c>
      <x:c r="C63" s="16" t="n">
        <x:v>2</x:v>
      </x:c>
      <x:c r="D63" s="16" t="n">
        <x:f>COUNTIFS('Schedule'!$A$2:$A$141,A63,'Schedule'!$D$2:$D$141,B63)</x:f>
        <x:v>2</x:v>
      </x:c>
      <x:c r="E63" s="16" t="str">
        <x:f>IF(D63=C63,"PASS","FAIL")</x:f>
        <x:v>PASS</x:v>
      </x:c>
    </x:row>
    <x:row r="64">
      <x:c r="A64" s="16" t="n">
        <x:v>7</x:v>
      </x:c>
      <x:c r="B64" s="16" t="str">
        <x:v>Personal writing</x:v>
      </x:c>
      <x:c r="C64" s="16" t="n">
        <x:v>2</x:v>
      </x:c>
      <x:c r="D64" s="16" t="n">
        <x:f>COUNTIFS('Schedule'!$A$2:$A$141,A64,'Schedule'!$D$2:$D$141,B64)</x:f>
        <x:v>2</x:v>
      </x:c>
      <x:c r="E64" s="16" t="str">
        <x:f>IF(D64=C64,"PASS","FAIL")</x:f>
        <x:v>PASS</x:v>
      </x:c>
    </x:row>
    <x:row r="65">
      <x:c r="A65" s="16" t="n">
        <x:v>7</x:v>
      </x:c>
      <x:c r="B65" s="16" t="str">
        <x:v>News</x:v>
      </x:c>
      <x:c r="C65" s="16" t="n">
        <x:v>2</x:v>
      </x:c>
      <x:c r="D65" s="16" t="n">
        <x:f>COUNTIFS('Schedule'!$A$2:$A$141,A65,'Schedule'!$D$2:$D$141,B65)</x:f>
        <x:v>2</x:v>
      </x:c>
      <x:c r="E65" s="16" t="str">
        <x:f>IF(D65=C65,"PASS","FAIL")</x:f>
        <x:v>PASS</x:v>
      </x:c>
    </x:row>
    <x:row r="66">
      <x:c r="A66" s="16" t="n">
        <x:v>7</x:v>
      </x:c>
      <x:c r="B66" s="16" t="str">
        <x:v>Business communication</x:v>
      </x:c>
      <x:c r="C66" s="16" t="n">
        <x:v>2</x:v>
      </x:c>
      <x:c r="D66" s="16" t="n">
        <x:f>COUNTIFS('Schedule'!$A$2:$A$141,A66,'Schedule'!$D$2:$D$141,B66)</x:f>
        <x:v>2</x:v>
      </x:c>
      <x:c r="E66" s="16" t="str">
        <x:f>IF(D66=C66,"PASS","FAIL")</x:f>
        <x:v>PASS</x:v>
      </x:c>
    </x:row>
    <x:row r="67">
      <x:c r="A67" s="16" t="n">
        <x:v>7</x:v>
      </x:c>
      <x:c r="B67" s="16" t="str">
        <x:v>Government &amp; public information</x:v>
      </x:c>
      <x:c r="C67" s="16" t="n">
        <x:v>2</x:v>
      </x:c>
      <x:c r="D67" s="16" t="n">
        <x:f>COUNTIFS('Schedule'!$A$2:$A$141,A67,'Schedule'!$D$2:$D$141,B67)</x:f>
        <x:v>2</x:v>
      </x:c>
      <x:c r="E67" s="16" t="str">
        <x:f>IF(D67=C67,"PASS","FAIL")</x:f>
        <x:v>PASS</x:v>
      </x:c>
    </x:row>
    <x:row r="68">
      <x:c r="A68" s="16" t="n">
        <x:v>7</x:v>
      </x:c>
      <x:c r="B68" s="16" t="str">
        <x:v>Proposals &amp; tenders</x:v>
      </x:c>
      <x:c r="C68" s="16" t="n">
        <x:v>2</x:v>
      </x:c>
      <x:c r="D68" s="16" t="n">
        <x:f>COUNTIFS('Schedule'!$A$2:$A$141,A68,'Schedule'!$D$2:$D$141,B68)</x:f>
        <x:v>2</x:v>
      </x:c>
      <x:c r="E68" s="16" t="str">
        <x:f>IF(D68=C68,"PASS","FAIL")</x:f>
        <x:v>PASS</x:v>
      </x:c>
    </x:row>
    <x:row r="69">
      <x:c r="A69" s="16" t="n">
        <x:v>7</x:v>
      </x:c>
      <x:c r="B69" s="16" t="str">
        <x:v>Legal &amp; contracts</x:v>
      </x:c>
      <x:c r="C69" s="16" t="n">
        <x:v>2</x:v>
      </x:c>
      <x:c r="D69" s="16" t="n">
        <x:f>COUNTIFS('Schedule'!$A$2:$A$141,A69,'Schedule'!$D$2:$D$141,B69)</x:f>
        <x:v>2</x:v>
      </x:c>
      <x:c r="E69" s="16" t="str">
        <x:f>IF(D69=C69,"PASS","FAIL")</x:f>
        <x:v>PASS</x:v>
      </x:c>
    </x:row>
    <x:row r="70">
      <x:c r="A70" s="16" t="n">
        <x:v>8</x:v>
      </x:c>
      <x:c r="B70" s="16" t="str">
        <x:v>Articles</x:v>
      </x:c>
      <x:c r="C70" s="16" t="n">
        <x:v>2</x:v>
      </x:c>
      <x:c r="D70" s="16" t="n">
        <x:f>COUNTIFS('Schedule'!$A$2:$A$141,A70,'Schedule'!$D$2:$D$141,B70)</x:f>
        <x:v>2</x:v>
      </x:c>
      <x:c r="E70" s="16" t="str">
        <x:f>IF(D70=C70,"PASS","FAIL")</x:f>
        <x:v>PASS</x:v>
      </x:c>
    </x:row>
    <x:row r="71">
      <x:c r="A71" s="16" t="n">
        <x:v>8</x:v>
      </x:c>
      <x:c r="B71" s="16" t="str">
        <x:v>Personal writing</x:v>
      </x:c>
      <x:c r="C71" s="16" t="n">
        <x:v>2</x:v>
      </x:c>
      <x:c r="D71" s="16" t="n">
        <x:f>COUNTIFS('Schedule'!$A$2:$A$141,A71,'Schedule'!$D$2:$D$141,B71)</x:f>
        <x:v>2</x:v>
      </x:c>
      <x:c r="E71" s="16" t="str">
        <x:f>IF(D71=C71,"PASS","FAIL")</x:f>
        <x:v>PASS</x:v>
      </x:c>
    </x:row>
    <x:row r="72">
      <x:c r="A72" s="16" t="n">
        <x:v>8</x:v>
      </x:c>
      <x:c r="B72" s="16" t="str">
        <x:v>News</x:v>
      </x:c>
      <x:c r="C72" s="16" t="n">
        <x:v>2</x:v>
      </x:c>
      <x:c r="D72" s="16" t="n">
        <x:f>COUNTIFS('Schedule'!$A$2:$A$141,A72,'Schedule'!$D$2:$D$141,B72)</x:f>
        <x:v>2</x:v>
      </x:c>
      <x:c r="E72" s="16" t="str">
        <x:f>IF(D72=C72,"PASS","FAIL")</x:f>
        <x:v>PASS</x:v>
      </x:c>
    </x:row>
    <x:row r="73">
      <x:c r="A73" s="16" t="n">
        <x:v>8</x:v>
      </x:c>
      <x:c r="B73" s="16" t="str">
        <x:v>Business communication</x:v>
      </x:c>
      <x:c r="C73" s="16" t="n">
        <x:v>2</x:v>
      </x:c>
      <x:c r="D73" s="16" t="n">
        <x:f>COUNTIFS('Schedule'!$A$2:$A$141,A73,'Schedule'!$D$2:$D$141,B73)</x:f>
        <x:v>2</x:v>
      </x:c>
      <x:c r="E73" s="16" t="str">
        <x:f>IF(D73=C73,"PASS","FAIL")</x:f>
        <x:v>PASS</x:v>
      </x:c>
    </x:row>
    <x:row r="74">
      <x:c r="A74" s="16" t="n">
        <x:v>8</x:v>
      </x:c>
      <x:c r="B74" s="16" t="str">
        <x:v>Government &amp; public information</x:v>
      </x:c>
      <x:c r="C74" s="16" t="n">
        <x:v>2</x:v>
      </x:c>
      <x:c r="D74" s="16" t="n">
        <x:f>COUNTIFS('Schedule'!$A$2:$A$141,A74,'Schedule'!$D$2:$D$141,B74)</x:f>
        <x:v>2</x:v>
      </x:c>
      <x:c r="E74" s="16" t="str">
        <x:f>IF(D74=C74,"PASS","FAIL")</x:f>
        <x:v>PASS</x:v>
      </x:c>
    </x:row>
    <x:row r="75">
      <x:c r="A75" s="16" t="n">
        <x:v>8</x:v>
      </x:c>
      <x:c r="B75" s="16" t="str">
        <x:v>Proposals &amp; tenders</x:v>
      </x:c>
      <x:c r="C75" s="16" t="n">
        <x:v>2</x:v>
      </x:c>
      <x:c r="D75" s="16" t="n">
        <x:f>COUNTIFS('Schedule'!$A$2:$A$141,A75,'Schedule'!$D$2:$D$141,B75)</x:f>
        <x:v>2</x:v>
      </x:c>
      <x:c r="E75" s="16" t="str">
        <x:f>IF(D75=C75,"PASS","FAIL")</x:f>
        <x:v>PASS</x:v>
      </x:c>
    </x:row>
    <x:row r="76">
      <x:c r="A76" s="16" t="n">
        <x:v>8</x:v>
      </x:c>
      <x:c r="B76" s="16" t="str">
        <x:v>Legal &amp; contracts</x:v>
      </x:c>
      <x:c r="C76" s="16" t="n">
        <x:v>2</x:v>
      </x:c>
      <x:c r="D76" s="16" t="n">
        <x:f>COUNTIFS('Schedule'!$A$2:$A$141,A76,'Schedule'!$D$2:$D$141,B76)</x:f>
        <x:v>2</x:v>
      </x:c>
      <x:c r="E76" s="16" t="str">
        <x:f>IF(D76=C76,"PASS","FAIL")</x:f>
        <x:v>PASS</x:v>
      </x:c>
    </x:row>
    <x:row r="77">
      <x:c r="A77" s="16" t="n">
        <x:v>9</x:v>
      </x:c>
      <x:c r="B77" s="16" t="str">
        <x:v>Articles</x:v>
      </x:c>
      <x:c r="C77" s="16" t="n">
        <x:v>2</x:v>
      </x:c>
      <x:c r="D77" s="16" t="n">
        <x:f>COUNTIFS('Schedule'!$A$2:$A$141,A77,'Schedule'!$D$2:$D$141,B77)</x:f>
        <x:v>2</x:v>
      </x:c>
      <x:c r="E77" s="16" t="str">
        <x:f>IF(D77=C77,"PASS","FAIL")</x:f>
        <x:v>PASS</x:v>
      </x:c>
    </x:row>
    <x:row r="78">
      <x:c r="A78" s="16" t="n">
        <x:v>9</x:v>
      </x:c>
      <x:c r="B78" s="16" t="str">
        <x:v>Personal writing</x:v>
      </x:c>
      <x:c r="C78" s="16" t="n">
        <x:v>2</x:v>
      </x:c>
      <x:c r="D78" s="16" t="n">
        <x:f>COUNTIFS('Schedule'!$A$2:$A$141,A78,'Schedule'!$D$2:$D$141,B78)</x:f>
        <x:v>2</x:v>
      </x:c>
      <x:c r="E78" s="16" t="str">
        <x:f>IF(D78=C78,"PASS","FAIL")</x:f>
        <x:v>PASS</x:v>
      </x:c>
    </x:row>
    <x:row r="79">
      <x:c r="A79" s="16" t="n">
        <x:v>9</x:v>
      </x:c>
      <x:c r="B79" s="16" t="str">
        <x:v>News</x:v>
      </x:c>
      <x:c r="C79" s="16" t="n">
        <x:v>2</x:v>
      </x:c>
      <x:c r="D79" s="16" t="n">
        <x:f>COUNTIFS('Schedule'!$A$2:$A$141,A79,'Schedule'!$D$2:$D$141,B79)</x:f>
        <x:v>2</x:v>
      </x:c>
      <x:c r="E79" s="16" t="str">
        <x:f>IF(D79=C79,"PASS","FAIL")</x:f>
        <x:v>PASS</x:v>
      </x:c>
    </x:row>
    <x:row r="80">
      <x:c r="A80" s="16" t="n">
        <x:v>9</x:v>
      </x:c>
      <x:c r="B80" s="16" t="str">
        <x:v>Business communication</x:v>
      </x:c>
      <x:c r="C80" s="16" t="n">
        <x:v>2</x:v>
      </x:c>
      <x:c r="D80" s="16" t="n">
        <x:f>COUNTIFS('Schedule'!$A$2:$A$141,A80,'Schedule'!$D$2:$D$141,B80)</x:f>
        <x:v>2</x:v>
      </x:c>
      <x:c r="E80" s="16" t="str">
        <x:f>IF(D80=C80,"PASS","FAIL")</x:f>
        <x:v>PASS</x:v>
      </x:c>
    </x:row>
    <x:row r="81">
      <x:c r="A81" s="16" t="n">
        <x:v>9</x:v>
      </x:c>
      <x:c r="B81" s="16" t="str">
        <x:v>Government &amp; public information</x:v>
      </x:c>
      <x:c r="C81" s="16" t="n">
        <x:v>2</x:v>
      </x:c>
      <x:c r="D81" s="16" t="n">
        <x:f>COUNTIFS('Schedule'!$A$2:$A$141,A81,'Schedule'!$D$2:$D$141,B81)</x:f>
        <x:v>2</x:v>
      </x:c>
      <x:c r="E81" s="16" t="str">
        <x:f>IF(D81=C81,"PASS","FAIL")</x:f>
        <x:v>PASS</x:v>
      </x:c>
    </x:row>
    <x:row r="82">
      <x:c r="A82" s="16" t="n">
        <x:v>9</x:v>
      </x:c>
      <x:c r="B82" s="16" t="str">
        <x:v>Proposals &amp; tenders</x:v>
      </x:c>
      <x:c r="C82" s="16" t="n">
        <x:v>2</x:v>
      </x:c>
      <x:c r="D82" s="16" t="n">
        <x:f>COUNTIFS('Schedule'!$A$2:$A$141,A82,'Schedule'!$D$2:$D$141,B82)</x:f>
        <x:v>2</x:v>
      </x:c>
      <x:c r="E82" s="16" t="str">
        <x:f>IF(D82=C82,"PASS","FAIL")</x:f>
        <x:v>PASS</x:v>
      </x:c>
    </x:row>
    <x:row r="83">
      <x:c r="A83" s="16" t="n">
        <x:v>9</x:v>
      </x:c>
      <x:c r="B83" s="16" t="str">
        <x:v>Legal &amp; contracts</x:v>
      </x:c>
      <x:c r="C83" s="16" t="n">
        <x:v>2</x:v>
      </x:c>
      <x:c r="D83" s="16" t="n">
        <x:f>COUNTIFS('Schedule'!$A$2:$A$141,A83,'Schedule'!$D$2:$D$141,B83)</x:f>
        <x:v>2</x:v>
      </x:c>
      <x:c r="E83" s="16" t="str">
        <x:f>IF(D83=C83,"PASS","FAIL")</x:f>
        <x:v>PASS</x:v>
      </x:c>
    </x:row>
    <x:row r="84">
      <x:c r="A84" s="16" t="n">
        <x:v>10</x:v>
      </x:c>
      <x:c r="B84" s="16" t="str">
        <x:v>Articles</x:v>
      </x:c>
      <x:c r="C84" s="16" t="n">
        <x:v>2</x:v>
      </x:c>
      <x:c r="D84" s="16" t="n">
        <x:f>COUNTIFS('Schedule'!$A$2:$A$141,A84,'Schedule'!$D$2:$D$141,B84)</x:f>
        <x:v>2</x:v>
      </x:c>
      <x:c r="E84" s="16" t="str">
        <x:f>IF(D84=C84,"PASS","FAIL")</x:f>
        <x:v>PASS</x:v>
      </x:c>
    </x:row>
    <x:row r="85">
      <x:c r="A85" s="16" t="n">
        <x:v>10</x:v>
      </x:c>
      <x:c r="B85" s="16" t="str">
        <x:v>Personal writing</x:v>
      </x:c>
      <x:c r="C85" s="16" t="n">
        <x:v>2</x:v>
      </x:c>
      <x:c r="D85" s="16" t="n">
        <x:f>COUNTIFS('Schedule'!$A$2:$A$141,A85,'Schedule'!$D$2:$D$141,B85)</x:f>
        <x:v>2</x:v>
      </x:c>
      <x:c r="E85" s="16" t="str">
        <x:f>IF(D85=C85,"PASS","FAIL")</x:f>
        <x:v>PASS</x:v>
      </x:c>
    </x:row>
    <x:row r="86">
      <x:c r="A86" s="16" t="n">
        <x:v>10</x:v>
      </x:c>
      <x:c r="B86" s="16" t="str">
        <x:v>News</x:v>
      </x:c>
      <x:c r="C86" s="16" t="n">
        <x:v>2</x:v>
      </x:c>
      <x:c r="D86" s="16" t="n">
        <x:f>COUNTIFS('Schedule'!$A$2:$A$141,A86,'Schedule'!$D$2:$D$141,B86)</x:f>
        <x:v>2</x:v>
      </x:c>
      <x:c r="E86" s="16" t="str">
        <x:f>IF(D86=C86,"PASS","FAIL")</x:f>
        <x:v>PASS</x:v>
      </x:c>
    </x:row>
    <x:row r="87">
      <x:c r="A87" s="16" t="n">
        <x:v>10</x:v>
      </x:c>
      <x:c r="B87" s="16" t="str">
        <x:v>Business communication</x:v>
      </x:c>
      <x:c r="C87" s="16" t="n">
        <x:v>2</x:v>
      </x:c>
      <x:c r="D87" s="16" t="n">
        <x:f>COUNTIFS('Schedule'!$A$2:$A$141,A87,'Schedule'!$D$2:$D$141,B87)</x:f>
        <x:v>2</x:v>
      </x:c>
      <x:c r="E87" s="16" t="str">
        <x:f>IF(D87=C87,"PASS","FAIL")</x:f>
        <x:v>PASS</x:v>
      </x:c>
    </x:row>
    <x:row r="88">
      <x:c r="A88" s="16" t="n">
        <x:v>10</x:v>
      </x:c>
      <x:c r="B88" s="16" t="str">
        <x:v>Government &amp; public information</x:v>
      </x:c>
      <x:c r="C88" s="16" t="n">
        <x:v>2</x:v>
      </x:c>
      <x:c r="D88" s="16" t="n">
        <x:f>COUNTIFS('Schedule'!$A$2:$A$141,A88,'Schedule'!$D$2:$D$141,B88)</x:f>
        <x:v>2</x:v>
      </x:c>
      <x:c r="E88" s="16" t="str">
        <x:f>IF(D88=C88,"PASS","FAIL")</x:f>
        <x:v>PASS</x:v>
      </x:c>
    </x:row>
    <x:row r="89">
      <x:c r="A89" s="16" t="n">
        <x:v>10</x:v>
      </x:c>
      <x:c r="B89" s="16" t="str">
        <x:v>Proposals &amp; tenders</x:v>
      </x:c>
      <x:c r="C89" s="16" t="n">
        <x:v>2</x:v>
      </x:c>
      <x:c r="D89" s="16" t="n">
        <x:f>COUNTIFS('Schedule'!$A$2:$A$141,A89,'Schedule'!$D$2:$D$141,B89)</x:f>
        <x:v>2</x:v>
      </x:c>
      <x:c r="E89" s="16" t="str">
        <x:f>IF(D89=C89,"PASS","FAIL")</x:f>
        <x:v>PASS</x:v>
      </x:c>
    </x:row>
    <x:row r="90">
      <x:c r="A90" s="16" t="n">
        <x:v>10</x:v>
      </x:c>
      <x:c r="B90" s="16" t="str">
        <x:v>Legal &amp; contracts</x:v>
      </x:c>
      <x:c r="C90" s="16" t="n">
        <x:v>2</x:v>
      </x:c>
      <x:c r="D90" s="16" t="n">
        <x:f>COUNTIFS('Schedule'!$A$2:$A$141,A90,'Schedule'!$D$2:$D$141,B90)</x:f>
        <x:v>2</x:v>
      </x:c>
      <x:c r="E90" s="16" t="str">
        <x:f>IF(D90=C90,"PASS","FAIL")</x:f>
        <x:v>PASS</x:v>
      </x:c>
    </x:row>
    <x:row r="91">
      <x:c r="A91" s="16"/>
      <x:c r="B91" s="16"/>
      <x:c r="C91" s="16"/>
      <x:c r="D91" s="16"/>
      <x:c r="E91" s="16"/>
    </x:row>
    <x:row r="92">
      <x:c r="A92" s="18" t="str">
        <x:v>Hard check</x:v>
      </x:c>
      <x:c r="B92" s="18" t="str">
        <x:v>Expected</x:v>
      </x:c>
      <x:c r="C92" s="18" t="str">
        <x:v>Actual</x:v>
      </x:c>
      <x:c r="D92" s="18" t="str">
        <x:v>Status</x:v>
      </x:c>
      <x:c r="E92" s="16"/>
    </x:row>
    <x:row r="93">
      <x:c r="A93" s="16" t="str">
        <x:v>All 10 Topics represented per batch</x:v>
      </x:c>
      <x:c r="B93" s="16" t="str">
        <x:v>PASS</x:v>
      </x:c>
      <x:c r="C93" s="16" t="str">
        <x:v>all topic cells checked</x:v>
      </x:c>
      <x:c r="D93" s="16" t="str">
        <x:v>PASS</x:v>
      </x:c>
      <x:c r="E93" s="16"/>
    </x:row>
    <x:row r="94">
      <x:c r="A94" s="16" t="str">
        <x:v>Category × Topic pairs separated</x:v>
      </x:c>
      <x:c r="B94" s="16" t="str">
        <x:v>PASS</x:v>
      </x:c>
      <x:c r="C94" s="16" t="str">
        <x:v>true</x:v>
      </x:c>
      <x:c r="D94" s="16" t="str">
        <x:v>PASS</x:v>
      </x:c>
      <x:c r="E94" s="16"/>
    </x:row>
    <x:row r="95">
      <x:c r="A95" s="16" t="str">
        <x:v>Approved Batch 1 unchanged</x:v>
      </x:c>
      <x:c r="B95" s="16" t="str">
        <x:v>PASS</x:v>
      </x:c>
      <x:c r="C95" s="16" t="str">
        <x:v>true</x:v>
      </x:c>
      <x:c r="D95" s="16" t="str">
        <x:v>PASS</x:v>
      </x:c>
      <x:c r="E95" s="16"/>
    </x:row>
    <x:row r="96">
      <x:c r="A96" s="16" t="str">
        <x:v>Only approved Batch 1 repeats a Category structural direction</x:v>
      </x:c>
      <x:c r="B96" s="16" t="str">
        <x:v>PASS</x:v>
      </x:c>
      <x:c r="C96" s="16" t="str">
        <x:v>[{"batch":1,"category":"News","direction":"Public-service report"}]</x:v>
      </x:c>
      <x:c r="D96" s="16" t="str">
        <x:v>PASS</x:v>
      </x:c>
      <x:c r="E96" s="16"/>
    </x:row>
  </x:sheetData>
  <x:mergeCells>
    <x:mergeCell ref="A1:D1"/>
  </x:mergeCells>
  <x:conditionalFormatting sqref="D4:E96">
    <x:cfRule type="containsText" dxfId="0" priority="1" operator="containsText" text="PASS"/>
  </x:conditionalFormatting>
  <x:pageMargins left="0.7" right="0.7" top="0.75" bottom="0.75" header="0.3" footer="0.3"/>
</x:worksheet>
</file>