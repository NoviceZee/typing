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d334c7b22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assessment" sheetId="1" r:id="Rdf9f464fc41346b2"/>
    <x:sheet xmlns:r="http://schemas.openxmlformats.org/officeDocument/2006/relationships" name="Corpus integrity" sheetId="2" r:id="Rc477b6ca1fdd48b6"/>
    <x:sheet xmlns:r="http://schemas.openxmlformats.org/officeDocument/2006/relationships" name="Final quotas" sheetId="3" r:id="Rfb19ef3f39a04afc"/>
    <x:sheet xmlns:r="http://schemas.openxmlformats.org/officeDocument/2006/relationships" name="Genre separation" sheetId="4" r:id="Rf20cf3e594ab449c"/>
    <x:sheet xmlns:r="http://schemas.openxmlformats.org/officeDocument/2006/relationships" name="Lexical &amp; topics" sheetId="5" r:id="R59409dde3f684f21"/>
    <x:sheet xmlns:r="http://schemas.openxmlformats.org/officeDocument/2006/relationships" name="Authorial fingerprint" sheetId="6" r:id="Rbf7aa87243244f2e"/>
    <x:sheet xmlns:r="http://schemas.openxmlformats.org/officeDocument/2006/relationships" name="Title audit" sheetId="7" r:id="R62c5381d84ac4dd5"/>
    <x:sheet xmlns:r="http://schemas.openxmlformats.org/officeDocument/2006/relationships" name="Difficulty calibration" sheetId="8" r:id="R0030f52f915a4fa7"/>
    <x:sheet xmlns:r="http://schemas.openxmlformats.org/officeDocument/2006/relationships" name="Typing experience" sheetId="9" r:id="Ra85b9150f0744ed7"/>
    <x:sheet xmlns:r="http://schemas.openxmlformats.org/officeDocument/2006/relationships" name="British English" sheetId="10" r:id="Re003100c366f421f"/>
    <x:sheet xmlns:r="http://schemas.openxmlformats.org/officeDocument/2006/relationships" name="Similarity report" sheetId="11" r:id="R0f76aa9ecccc469f"/>
    <x:sheet xmlns:r="http://schemas.openxmlformats.org/officeDocument/2006/relationships" name="Legacy disposition" sheetId="12" r:id="R7a1e6938dda74827"/>
    <x:sheet xmlns:r="http://schemas.openxmlformats.org/officeDocument/2006/relationships" name="Migration readiness" sheetId="13" r:id="Rba85d6573a6844d1"/>
    <x:sheet xmlns:r="http://schemas.openxmlformats.org/officeDocument/2006/relationships" name="Findings &amp; revisions" sheetId="14" r:id="R65c6e80769724a34"/>
    <x:sheet xmlns:r="http://schemas.openxmlformats.org/officeDocument/2006/relationships" name="Release recommendation" sheetId="15" r:id="R5b0b2d0c23f3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0.00"/>
    <x:numFmt numFmtId="203" formatCode="0.0%"/>
    <x:numFmt numFmtId="204" formatCode="0.000000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0"/>
      <x:color rgb="FF5F7182"/>
      <x:name val="Carlito"/>
    </x:font>
    <x:font>
      <x:b/>
      <x:sz val="14"/>
      <x:color rgb="FF176B3A"/>
      <x:name val="Carlito"/>
    </x:font>
    <x:font>
      <x:b/>
      <x:sz val="11"/>
      <x:color rgb="FFFFFFFF"/>
      <x:name val="Carlito"/>
    </x:font>
    <x:font>
      <x:sz val="10"/>
      <x:color rgb="FF243342"/>
      <x:name val="Carlito"/>
    </x:font>
    <x:font>
      <x:b/>
      <x:sz val="12"/>
      <x:color rgb="FF183658"/>
      <x:name val="Carlito"/>
    </x:font>
    <x:font>
      <x:b/>
      <x:sz val="11"/>
      <x:color rgb="FF7A5600"/>
      <x:name val="Carlito"/>
    </x:font>
    <x:font>
      <x:b/>
      <x:sz val="11"/>
      <x:color rgb="FF176B3A"/>
      <x:name val="Carlito"/>
    </x:font>
    <x:font>
      <x:b/>
      <x:sz val="22"/>
      <x:color rgb="FF176B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658"/>
      </x:patternFill>
    </x:fill>
    <x:fill>
      <x:patternFill patternType="solid">
        <x:fgColor rgb="FFE8F4EC"/>
      </x:patternFill>
    </x:fill>
    <x:fill>
      <x:patternFill patternType="solid">
        <x:fgColor rgb="FF3477A5"/>
      </x:patternFill>
    </x:fill>
    <x:fill>
      <x:patternFill patternType="solid">
        <x:fgColor rgb="FFEAF2F8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76B3A"/>
      </x:font>
      <x:fill>
        <x:patternFill patternType="solid">
          <x:bgColor rgb="FFE8F4EC"/>
        </x:patternFill>
      </x:fill>
    </x:dxf>
    <x:dxf>
      <x:font>
        <x:b/>
        <x:color rgb="FF7A5600"/>
      </x:font>
      <x:fill>
        <x:patternFill patternType="solid">
          <x:bgColor rgb="FFFFF3D6"/>
        </x:patternFill>
      </x:fill>
    </x:dxf>
    <x:dxf>
      <x:font>
        <x:b/>
        <x:color rgb="FFA33A2B"/>
      </x:font>
      <x:fill>
        <x:patternFill patternType="solid">
          <x:bgColor rgb="FFFBE9E7"/>
        </x:patternFill>
      </x:fill>
    </x:dxf>
    <x:dxf>
      <x:font>
        <x:b/>
        <x:color rgb="FF176B3A"/>
      </x:font>
      <x:fill>
        <x:patternFill patternType="solid">
          <x:bgColor rgb="FFE8F4EC"/>
        </x:patternFill>
      </x:fill>
    </x:dxf>
    <x:dxf>
      <x:font>
        <x:b/>
        <x:color rgb="FF176B3A"/>
      </x:font>
      <x:fill>
        <x:patternFill patternType="solid">
          <x:bgColor rgb="FFE8F4EC"/>
        </x:patternFill>
      </x:fill>
    </x:dxf>
    <x:dxf>
      <x:font>
        <x:b/>
        <x:color rgb="FF176B3A"/>
      </x:font>
      <x:fill>
        <x:patternFill patternType="solid">
          <x:bgColor rgb="FFE8F4EC"/>
        </x:patternFill>
      </x:fill>
    </x:dxf>
    <x:dxf>
      <x:font>
        <x:b/>
        <x:color rgb="FF176B3A"/>
      </x:font>
      <x:fill>
        <x:patternFill patternType="solid">
          <x:bgColor rgb="FFE8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bd2f9dd8e4eda" /><Relationship Type="http://schemas.openxmlformats.org/officeDocument/2006/relationships/theme" Target="/xl/theme/theme1.xml" Id="R118020eff5624527" /><Relationship Type="http://schemas.openxmlformats.org/officeDocument/2006/relationships/sharedStrings" Target="/xl/sharedStrings.xml" Id="R12bce9ec3ced4942" /><Relationship Type="http://schemas.openxmlformats.org/officeDocument/2006/relationships/worksheet" Target="/xl/worksheets/sheet1.xml" Id="Rdf9f464fc41346b2" /><Relationship Type="http://schemas.openxmlformats.org/officeDocument/2006/relationships/worksheet" Target="/xl/worksheets/sheet2.xml" Id="Rc477b6ca1fdd48b6" /><Relationship Type="http://schemas.openxmlformats.org/officeDocument/2006/relationships/worksheet" Target="/xl/worksheets/sheet3.xml" Id="Rfb19ef3f39a04afc" /><Relationship Type="http://schemas.openxmlformats.org/officeDocument/2006/relationships/worksheet" Target="/xl/worksheets/sheet4.xml" Id="Rf20cf3e594ab449c" /><Relationship Type="http://schemas.openxmlformats.org/officeDocument/2006/relationships/worksheet" Target="/xl/worksheets/sheet5.xml" Id="R59409dde3f684f21" /><Relationship Type="http://schemas.openxmlformats.org/officeDocument/2006/relationships/worksheet" Target="/xl/worksheets/sheet6.xml" Id="Rbf7aa87243244f2e" /><Relationship Type="http://schemas.openxmlformats.org/officeDocument/2006/relationships/worksheet" Target="/xl/worksheets/sheet7.xml" Id="R62c5381d84ac4dd5" /><Relationship Type="http://schemas.openxmlformats.org/officeDocument/2006/relationships/worksheet" Target="/xl/worksheets/sheet8.xml" Id="R0030f52f915a4fa7" /><Relationship Type="http://schemas.openxmlformats.org/officeDocument/2006/relationships/worksheet" Target="/xl/worksheets/sheet9.xml" Id="Ra85b9150f0744ed7" /><Relationship Type="http://schemas.openxmlformats.org/officeDocument/2006/relationships/worksheet" Target="/xl/worksheets/sheet10.xml" Id="Re003100c366f421f" /><Relationship Type="http://schemas.openxmlformats.org/officeDocument/2006/relationships/worksheet" Target="/xl/worksheets/sheet11.xml" Id="R0f76aa9ecccc469f" /><Relationship Type="http://schemas.openxmlformats.org/officeDocument/2006/relationships/worksheet" Target="/xl/worksheets/sheet12.xml" Id="R7a1e6938dda74827" /><Relationship Type="http://schemas.openxmlformats.org/officeDocument/2006/relationships/worksheet" Target="/xl/worksheets/sheet13.xml" Id="Rba85d6573a6844d1" /><Relationship Type="http://schemas.openxmlformats.org/officeDocument/2006/relationships/worksheet" Target="/xl/worksheets/sheet14.xml" Id="R65c6e80769724a34" /><Relationship Type="http://schemas.openxmlformats.org/officeDocument/2006/relationships/worksheet" Target="/xl/worksheets/sheet15.xml" Id="R5b0b2d0c23f349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1" hidden="0" customWidth="1"/>
    <x:col min="3" max="3" width="104" hidden="0" customWidth="1"/>
  </x:cols>
  <x:sheetData>
    <x:row r="1" ht="36" customHeight="1">
      <x:c r="A1" s="3" t="str">
        <x:v>English Corpus v2 — Final Release Audit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Locked Batches 1–10 · 140 approved passages · read-only release-readiness review</x:v>
      </x:c>
      <x:c r="B2" s="5"/>
      <x:c r="C2" s="5"/>
      <x:c r="D2" s="5"/>
      <x:c r="E2" s="5"/>
      <x:c r="F2" s="5"/>
      <x:c r="G2" s="5"/>
      <x:c r="H2" s="5"/>
    </x:row>
    <x:row r="4">
      <x:c r="A4" s="9" t="str">
        <x:v>READY FOR MIGRATION — all four bounded release-revision groups are complete. The refreshed 140-text baseline preserves every locked manifest assignment and quota, passes duplication and British-English gates, contains no editorial ‘fictional’ scaffolding or non-ASCII dash, and retains only the approved PER-003 relative-time exemption.</x:v>
      </x:c>
      <x:c r="B4" s="9"/>
      <x:c r="C4" s="9"/>
      <x:c r="D4" s="9"/>
      <x:c r="E4" s="9"/>
      <x:c r="F4" s="9"/>
      <x:c r="G4" s="9"/>
      <x:c r="H4" s="9"/>
    </x:row>
    <x:row r="5">
      <x:c r="A5" s="9"/>
      <x:c r="B5" s="9"/>
      <x:c r="C5" s="9"/>
      <x:c r="D5" s="9"/>
      <x:c r="E5" s="9"/>
      <x:c r="F5" s="9"/>
      <x:c r="G5" s="9"/>
      <x:c r="H5" s="9"/>
    </x:row>
    <x:row r="6">
      <x:c r="A6" s="9"/>
      <x:c r="B6" s="9"/>
      <x:c r="C6" s="9"/>
      <x:c r="D6" s="9"/>
      <x:c r="E6" s="9"/>
      <x:c r="F6" s="9"/>
      <x:c r="G6" s="9"/>
      <x:c r="H6" s="9"/>
    </x:row>
    <x:row r="8" ht="32" customHeight="1">
      <x:c r="A8" s="13" t="str">
        <x:v>Area</x:v>
      </x:c>
      <x:c r="B8" s="13" t="str">
        <x:v>Status</x:v>
      </x:c>
      <x:c r="C8" s="13" t="str">
        <x:v>Final finding</x:v>
      </x:c>
    </x:row>
    <x:row r="9" ht="50" customHeight="1">
      <x:c r="A9" s="16" t="str">
        <x:v>Corpus integrity</x:v>
      </x:c>
      <x:c r="B9" s="16" t="str">
        <x:v>PASS</x:v>
      </x:c>
      <x:c r="C9" s="16" t="str">
        <x:v>140 unique Brief IDs, 140 unique titles, 10 × 14 batches, matching SHA-256 baseline and manifest slots.</x:v>
      </x:c>
    </x:row>
    <x:row r="10" ht="50" customHeight="1">
      <x:c r="A10" s="16" t="str">
        <x:v>Final quotas</x:v>
      </x:c>
      <x:c r="B10" s="16" t="str">
        <x:v>PASS</x:v>
      </x:c>
      <x:c r="C10" s="16" t="str">
        <x:v>All category, topic, Category × Topic, direction, length, difficulty and marked-feature targets are complete.</x:v>
      </x:c>
    </x:row>
    <x:row r="11" ht="50" customHeight="1">
      <x:c r="A11" s="16" t="str">
        <x:v>Genre separation</x:v>
      </x:c>
      <x:c r="B11" s="16" t="str">
        <x:v>PASS</x:v>
      </x:c>
      <x:c r="C11" s="16" t="str">
        <x:v>PRO-001 now supplies a commissioner need, tangible repair-route deliverables, live acceptance evidence and a failed-acceptance consequence. Editorial scaffolding has been removed from 26 texts.</x:v>
      </x:c>
    </x:row>
    <x:row r="12" ht="50" customHeight="1">
      <x:c r="A12" s="16" t="str">
        <x:v>Lexical and thematic range</x:v>
      </x:c>
      <x:c r="B12" s="16" t="str">
        <x:v>PASS WITH GUIDANCE</x:v>
      </x:c>
      <x:c r="C12" s="16" t="str">
        <x:v>Second-half tools, food/home and relationship/performance fields broadened materially; technology and public-service topics remain institution-heavy.</x:v>
      </x:c>
    </x:row>
    <x:row r="13" ht="50" customHeight="1">
      <x:c r="A13" s="16" t="str">
        <x:v>Authorial fingerprint</x:v>
      </x:c>
      <x:c r="B13" s="16" t="str">
        <x:v>NON-BLOCKING GUIDANCE</x:v>
      </x:c>
      <x:c r="C13" s="16" t="str">
        <x:v>Concrete/data openings and modal action endings remain common, but exact structures and prose do not duplicate.</x:v>
      </x:c>
    </x:row>
    <x:row r="14" ht="50" customHeight="1">
      <x:c r="A14" s="16" t="str">
        <x:v>Difficulty</x:v>
      </x:c>
      <x:c r="B14" s="16" t="str">
        <x:v>METADATA REVIEW</x:v>
      </x:c>
      <x:c r="C14" s="16" t="str">
        <x:v>Five Accessible labels warrant Core review. Difficulty remains editorial-only and should not drive runtime behaviour in v2.</x:v>
      </x:c>
    </x:row>
    <x:row r="15" ht="50" customHeight="1">
      <x:c r="A15" s="16" t="str">
        <x:v>Typing experience</x:v>
      </x:c>
      <x:c r="B15" s="16" t="str">
        <x:v>PASS</x:v>
      </x:c>
      <x:c r="C15" s="16" t="str">
        <x:v>The em dash and en dash were replaced; the four required passages now use durable anchors. PER-003 remains an approved Personal-writing exemption.</x:v>
      </x:c>
    </x:row>
    <x:row r="16" ht="50" customHeight="1">
      <x:c r="A16" s="16" t="str">
        <x:v>British English</x:v>
      </x:c>
      <x:c r="B16" s="16" t="str">
        <x:v>PASS</x:v>
      </x:c>
      <x:c r="C16" s="16" t="str">
        <x:v>British spelling, day–month dates, 24-hour time, pounds and straight single quotes are consistent.</x:v>
      </x:c>
    </x:row>
    <x:row r="17" ht="50" customHeight="1">
      <x:c r="A17" s="16" t="str">
        <x:v>Legacy disposition</x:v>
      </x:c>
      <x:c r="B17" s="16" t="str">
        <x:v>PASS</x:v>
      </x:c>
      <x:c r="C17" s="16" t="str">
        <x:v>40 retained IDs, 9 deactivations and 100 new inserts reconcile exactly with all 49 legacy records.</x:v>
      </x:c>
    </x:row>
    <x:row r="18" ht="50" customHeight="1">
      <x:c r="A18" s="16" t="str">
        <x:v>Migration readiness</x:v>
      </x:c>
      <x:c r="B18" s="16" t="str">
        <x:v>READY</x:v>
      </x:c>
      <x:c r="C18" s="16" t="str">
        <x:v>All bounded revisions pass and 32 affected SHA-256 fingerprints are refreshed. No schema expansion is needed.</x:v>
      </x:c>
    </x:row>
  </x:sheetData>
  <x:mergeCells>
    <x:mergeCell ref="A1:H1"/>
    <x:mergeCell ref="A2:H2"/>
    <x:mergeCell ref="A4:H6"/>
  </x:mergeCells>
  <x:conditionalFormatting sqref="B9:B18">
    <x:cfRule type="containsText" dxfId="0" priority="1" operator="containsText" text="PASS"/>
    <x:cfRule type="containsText" dxfId="1" priority="2" operator="containsText" text="TARGETED"/>
    <x:cfRule type="containsText" dxfId="2" priority="3" operator="containsText" text="WAI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4" hidden="0" customWidth="1"/>
    <x:col min="5" max="5" width="87" hidden="0" customWidth="1"/>
  </x:cols>
  <x:sheetData>
    <x:row r="1" ht="36" customHeight="1">
      <x:c r="A1" s="3" t="str">
        <x:v>Corpus integrity validation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Independent reconciliation of locked text, baseline workbook, schedule and manifest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Check</x:v>
      </x:c>
      <x:c r="B4" s="13" t="str">
        <x:v>Expected</x:v>
      </x:c>
      <x:c r="C4" s="13" t="str">
        <x:v>Actual</x:v>
      </x:c>
      <x:c r="D4" s="13" t="str">
        <x:v>Status</x:v>
      </x:c>
      <x:c r="E4" s="13" t="str">
        <x:v>Evidence</x:v>
      </x:c>
    </x:row>
    <x:row r="5" ht="40" customHeight="1">
      <x:c r="A5" s="16" t="str">
        <x:v>Approved passages</x:v>
      </x:c>
      <x:c r="B5" s="16" t="n">
        <x:v>140</x:v>
      </x:c>
      <x:c r="C5" s="16" t="n">
        <x:v>140</x:v>
      </x:c>
      <x:c r="D5" s="16" t="str">
        <x:f>IF(B5=C5,"PASS","BLOCKER")</x:f>
        <x:v>PASS</x:v>
      </x:c>
      <x:c r="E5" s="16" t="str">
        <x:v>All locked prose records</x:v>
      </x:c>
    </x:row>
    <x:row r="6" ht="40" customHeight="1">
      <x:c r="A6" s="16" t="str">
        <x:v>Unique Brief IDs</x:v>
      </x:c>
      <x:c r="B6" s="16" t="n">
        <x:v>140</x:v>
      </x:c>
      <x:c r="C6" s="16" t="n">
        <x:v>140</x:v>
      </x:c>
      <x:c r="D6" s="16" t="str">
        <x:f>IF(B6=C6,"PASS","BLOCKER")</x:f>
        <x:v>PASS</x:v>
      </x:c>
      <x:c r="E6" s="16" t="str">
        <x:v>No duplicate or missing identity</x:v>
      </x:c>
    </x:row>
    <x:row r="7" ht="40" customHeight="1">
      <x:c r="A7" s="16" t="str">
        <x:v>Unique titles</x:v>
      </x:c>
      <x:c r="B7" s="16" t="n">
        <x:v>140</x:v>
      </x:c>
      <x:c r="C7" s="16" t="n">
        <x:v>140</x:v>
      </x:c>
      <x:c r="D7" s="16" t="str">
        <x:f>IF(B7=C7,"PASS","BLOCKER")</x:f>
        <x:v>PASS</x:v>
      </x:c>
      <x:c r="E7" s="16" t="str">
        <x:v>No exact duplicate title</x:v>
      </x:c>
    </x:row>
    <x:row r="8" ht="40" customHeight="1">
      <x:c r="A8" s="16" t="str">
        <x:v>Approved baseline rows</x:v>
      </x:c>
      <x:c r="B8" s="16" t="n">
        <x:v>140</x:v>
      </x:c>
      <x:c r="C8" s="16" t="n">
        <x:v>140</x:v>
      </x:c>
      <x:c r="D8" s="16" t="str">
        <x:f>IF(B8=C8,"PASS","BLOCKER")</x:f>
        <x:v>PASS</x:v>
      </x:c>
      <x:c r="E8" s="16" t="str">
        <x:v>SHA-256 over exact UTF-8 prose</x:v>
      </x:c>
    </x:row>
    <x:row r="9" ht="40" customHeight="1">
      <x:c r="A9" s="16" t="str">
        <x:v>Manifest slots</x:v>
      </x:c>
      <x:c r="B9" s="16" t="n">
        <x:v>140</x:v>
      </x:c>
      <x:c r="C9" s="16" t="n">
        <x:v>140</x:v>
      </x:c>
      <x:c r="D9" s="16" t="str">
        <x:f>IF(B9=C9,"PASS","BLOCKER")</x:f>
        <x:v>PASS</x:v>
      </x:c>
      <x:c r="E9" s="16" t="str">
        <x:v>Every Brief ID has one slot</x:v>
      </x:c>
    </x:row>
    <x:row r="10" ht="40" customHeight="1">
      <x:c r="A10" s="16" t="str">
        <x:v>Approved batches</x:v>
      </x:c>
      <x:c r="B10" s="16" t="n">
        <x:v>10</x:v>
      </x:c>
      <x:c r="C10" s="16" t="n">
        <x:v>10</x:v>
      </x:c>
      <x:c r="D10" s="16" t="str">
        <x:f>IF(B10=C10,"PASS","BLOCKER")</x:f>
        <x:v>PASS</x:v>
      </x:c>
      <x:c r="E10" s="16" t="str">
        <x:v>Each batch has 14</x:v>
      </x:c>
    </x:row>
    <x:row r="11" ht="40" customHeight="1">
      <x:c r="A11" s="16" t="str">
        <x:v>Hash discrepancies</x:v>
      </x:c>
      <x:c r="B11" s="16" t="n">
        <x:v>0</x:v>
      </x:c>
      <x:c r="C11" s="16" t="n">
        <x:v>0</x:v>
      </x:c>
      <x:c r="D11" s="16" t="str">
        <x:f>IF(B11=C11,"PASS","BLOCKER")</x:f>
        <x:v>PASS</x:v>
      </x:c>
      <x:c r="E11" s="16" t="str">
        <x:v>Independent verifier found none</x:v>
      </x:c>
    </x:row>
    <x:row r="12" ht="40" customHeight="1">
      <x:c r="A12" s="16" t="str">
        <x:v>Manifest-slot discrepancies</x:v>
      </x:c>
      <x:c r="B12" s="16" t="n">
        <x:v>0</x:v>
      </x:c>
      <x:c r="C12" s="16" t="n">
        <x:v>0</x:v>
      </x:c>
      <x:c r="D12" s="16" t="str">
        <x:f>IF(B12=C12,"PASS","BLOCKER")</x:f>
        <x:v>PASS</x:v>
      </x:c>
      <x:c r="E12" s="16" t="str">
        <x:v>Category/topic/direction/length/difficulty match</x:v>
      </x:c>
    </x:row>
    <x:row r="15" ht="32" customHeight="1">
      <x:c r="A15" s="13" t="str">
        <x:v>Batch</x:v>
      </x:c>
      <x:c r="B15" s="13" t="str">
        <x:v>Expected</x:v>
      </x:c>
      <x:c r="C15" s="13" t="str">
        <x:v>Actual</x:v>
      </x:c>
      <x:c r="D15" s="13" t="str">
        <x:v>Status</x:v>
      </x:c>
    </x:row>
    <x:row r="16" ht="30" customHeight="1">
      <x:c r="A16" s="16" t="n">
        <x:v>1</x:v>
      </x:c>
      <x:c r="B16" s="16" t="n">
        <x:v>14</x:v>
      </x:c>
      <x:c r="C16" s="16" t="n">
        <x:v>14</x:v>
      </x:c>
      <x:c r="D16" s="16" t="str">
        <x:f>IF(B16=C16,"PASS","BLOCKER")</x:f>
        <x:v>PASS</x:v>
      </x:c>
    </x:row>
    <x:row r="17" ht="30" customHeight="1">
      <x:c r="A17" s="16" t="n">
        <x:v>2</x:v>
      </x:c>
      <x:c r="B17" s="16" t="n">
        <x:v>14</x:v>
      </x:c>
      <x:c r="C17" s="16" t="n">
        <x:v>14</x:v>
      </x:c>
      <x:c r="D17" s="16" t="str">
        <x:f>IF(B17=C17,"PASS","BLOCKER")</x:f>
        <x:v>PASS</x:v>
      </x:c>
    </x:row>
    <x:row r="18" ht="30" customHeight="1">
      <x:c r="A18" s="16" t="n">
        <x:v>3</x:v>
      </x:c>
      <x:c r="B18" s="16" t="n">
        <x:v>14</x:v>
      </x:c>
      <x:c r="C18" s="16" t="n">
        <x:v>14</x:v>
      </x:c>
      <x:c r="D18" s="16" t="str">
        <x:f>IF(B18=C18,"PASS","BLOCKER")</x:f>
        <x:v>PASS</x:v>
      </x:c>
    </x:row>
    <x:row r="19" ht="30" customHeight="1">
      <x:c r="A19" s="16" t="n">
        <x:v>4</x:v>
      </x:c>
      <x:c r="B19" s="16" t="n">
        <x:v>14</x:v>
      </x:c>
      <x:c r="C19" s="16" t="n">
        <x:v>14</x:v>
      </x:c>
      <x:c r="D19" s="16" t="str">
        <x:f>IF(B19=C19,"PASS","BLOCKER")</x:f>
        <x:v>PASS</x:v>
      </x:c>
    </x:row>
    <x:row r="20" ht="30" customHeight="1">
      <x:c r="A20" s="16" t="n">
        <x:v>5</x:v>
      </x:c>
      <x:c r="B20" s="16" t="n">
        <x:v>14</x:v>
      </x:c>
      <x:c r="C20" s="16" t="n">
        <x:v>14</x:v>
      </x:c>
      <x:c r="D20" s="16" t="str">
        <x:f>IF(B20=C20,"PASS","BLOCKER")</x:f>
        <x:v>PASS</x:v>
      </x:c>
    </x:row>
    <x:row r="21" ht="30" customHeight="1">
      <x:c r="A21" s="16" t="n">
        <x:v>6</x:v>
      </x:c>
      <x:c r="B21" s="16" t="n">
        <x:v>14</x:v>
      </x:c>
      <x:c r="C21" s="16" t="n">
        <x:v>14</x:v>
      </x:c>
      <x:c r="D21" s="16" t="str">
        <x:f>IF(B21=C21,"PASS","BLOCKER")</x:f>
        <x:v>PASS</x:v>
      </x:c>
    </x:row>
    <x:row r="22" ht="30" customHeight="1">
      <x:c r="A22" s="16" t="n">
        <x:v>7</x:v>
      </x:c>
      <x:c r="B22" s="16" t="n">
        <x:v>14</x:v>
      </x:c>
      <x:c r="C22" s="16" t="n">
        <x:v>14</x:v>
      </x:c>
      <x:c r="D22" s="16" t="str">
        <x:f>IF(B22=C22,"PASS","BLOCKER")</x:f>
        <x:v>PASS</x:v>
      </x:c>
    </x:row>
    <x:row r="23" ht="30" customHeight="1">
      <x:c r="A23" s="16" t="n">
        <x:v>8</x:v>
      </x:c>
      <x:c r="B23" s="16" t="n">
        <x:v>14</x:v>
      </x:c>
      <x:c r="C23" s="16" t="n">
        <x:v>14</x:v>
      </x:c>
      <x:c r="D23" s="16" t="str">
        <x:f>IF(B23=C23,"PASS","BLOCKER")</x:f>
        <x:v>PASS</x:v>
      </x:c>
    </x:row>
    <x:row r="24" ht="30" customHeight="1">
      <x:c r="A24" s="16" t="n">
        <x:v>9</x:v>
      </x:c>
      <x:c r="B24" s="16" t="n">
        <x:v>14</x:v>
      </x:c>
      <x:c r="C24" s="16" t="n">
        <x:v>14</x:v>
      </x:c>
      <x:c r="D24" s="16" t="str">
        <x:f>IF(B24=C24,"PASS","BLOCKER")</x:f>
        <x:v>PASS</x:v>
      </x:c>
    </x:row>
    <x:row r="25" ht="30" customHeight="1">
      <x:c r="A25" s="16" t="n">
        <x:v>10</x:v>
      </x:c>
      <x:c r="B25" s="16" t="n">
        <x:v>14</x:v>
      </x:c>
      <x:c r="C25" s="16" t="n">
        <x:v>14</x:v>
      </x:c>
      <x:c r="D25" s="16" t="str">
        <x:f>IF(B25=C25,"PASS","BLOCKER")</x:f>
        <x:v>PASS</x:v>
      </x:c>
    </x:row>
  </x:sheetData>
  <x:mergeCells>
    <x:mergeCell ref="A1:H1"/>
    <x:mergeCell ref="A2:H2"/>
  </x:mergeCells>
  <x:conditionalFormatting sqref="D5:D12">
    <x:cfRule type="containsText" dxfId="3" priority="1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9" hidden="0" customWidth="1"/>
    <x:col min="4" max="4" width="23" hidden="0" customWidth="1"/>
    <x:col min="5" max="5" width="36" hidden="0" customWidth="1"/>
  </x:cols>
  <x:sheetData>
    <x:row r="1" ht="36" customHeight="1">
      <x:c r="A1" s="3" t="str">
        <x:v>Final manifest and coverage quotas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All calculations use the locked 140-slot schedule; no rebalance has been applied</x:v>
      </x:c>
      <x:c r="B2" s="5"/>
      <x:c r="C2" s="5"/>
      <x:c r="D2" s="5"/>
      <x:c r="E2" s="5"/>
      <x:c r="F2" s="5"/>
      <x:c r="G2" s="5"/>
      <x:c r="H2" s="5"/>
    </x:row>
    <x:row r="4" ht="27" customHeight="1">
      <x:c r="A4" s="18" t="str">
        <x:v>Categories — 7 × 20</x:v>
      </x:c>
      <x:c r="B4" s="18"/>
      <x:c r="C4" s="18"/>
      <x:c r="D4" s="18"/>
      <x:c r="E4" s="18"/>
    </x:row>
    <x:row r="5" ht="32" customHeight="1">
      <x:c r="A5" s="13" t="str">
        <x:v>Item</x:v>
      </x:c>
      <x:c r="B5" s="13" t="str">
        <x:v>Expected</x:v>
      </x:c>
      <x:c r="C5" s="13" t="str">
        <x:v>Actual</x:v>
      </x:c>
      <x:c r="D5" s="13" t="str">
        <x:v>Status</x:v>
      </x:c>
      <x:c r="E5" s="13" t="str">
        <x:v>Notes</x:v>
      </x:c>
    </x:row>
    <x:row r="6" ht="28" customHeight="1">
      <x:c r="A6" s="16" t="str">
        <x:v>Articles</x:v>
      </x:c>
      <x:c r="B6" s="16" t="n">
        <x:v>20</x:v>
      </x:c>
      <x:c r="C6" s="16" t="n">
        <x:v>20</x:v>
      </x:c>
      <x:c r="D6" s="16" t="str">
        <x:f>IF(B6=C6,"PASS","BLOCKER")</x:f>
        <x:v>PASS</x:v>
      </x:c>
      <x:c r="E6" s="16" t="str"/>
    </x:row>
    <x:row r="7" ht="28" customHeight="1">
      <x:c r="A7" s="16" t="str">
        <x:v>Business communication</x:v>
      </x:c>
      <x:c r="B7" s="16" t="n">
        <x:v>20</x:v>
      </x:c>
      <x:c r="C7" s="16" t="n">
        <x:v>20</x:v>
      </x:c>
      <x:c r="D7" s="16" t="str">
        <x:f>IF(B7=C7,"PASS","BLOCKER")</x:f>
        <x:v>PASS</x:v>
      </x:c>
      <x:c r="E7" s="16" t="str"/>
    </x:row>
    <x:row r="8" ht="28" customHeight="1">
      <x:c r="A8" s="16" t="str">
        <x:v>Government &amp; public information</x:v>
      </x:c>
      <x:c r="B8" s="16" t="n">
        <x:v>20</x:v>
      </x:c>
      <x:c r="C8" s="16" t="n">
        <x:v>20</x:v>
      </x:c>
      <x:c r="D8" s="16" t="str">
        <x:f>IF(B8=C8,"PASS","BLOCKER")</x:f>
        <x:v>PASS</x:v>
      </x:c>
      <x:c r="E8" s="16" t="str"/>
    </x:row>
    <x:row r="9" ht="28" customHeight="1">
      <x:c r="A9" s="16" t="str">
        <x:v>Legal &amp; contracts</x:v>
      </x:c>
      <x:c r="B9" s="16" t="n">
        <x:v>20</x:v>
      </x:c>
      <x:c r="C9" s="16" t="n">
        <x:v>20</x:v>
      </x:c>
      <x:c r="D9" s="16" t="str">
        <x:f>IF(B9=C9,"PASS","BLOCKER")</x:f>
        <x:v>PASS</x:v>
      </x:c>
      <x:c r="E9" s="16" t="str"/>
    </x:row>
    <x:row r="10" ht="28" customHeight="1">
      <x:c r="A10" s="16" t="str">
        <x:v>News</x:v>
      </x:c>
      <x:c r="B10" s="16" t="n">
        <x:v>20</x:v>
      </x:c>
      <x:c r="C10" s="16" t="n">
        <x:v>20</x:v>
      </x:c>
      <x:c r="D10" s="16" t="str">
        <x:f>IF(B10=C10,"PASS","BLOCKER")</x:f>
        <x:v>PASS</x:v>
      </x:c>
      <x:c r="E10" s="16" t="str"/>
    </x:row>
    <x:row r="11" ht="28" customHeight="1">
      <x:c r="A11" s="16" t="str">
        <x:v>Personal writing</x:v>
      </x:c>
      <x:c r="B11" s="16" t="n">
        <x:v>20</x:v>
      </x:c>
      <x:c r="C11" s="16" t="n">
        <x:v>20</x:v>
      </x:c>
      <x:c r="D11" s="16" t="str">
        <x:f>IF(B11=C11,"PASS","BLOCKER")</x:f>
        <x:v>PASS</x:v>
      </x:c>
      <x:c r="E11" s="16" t="str"/>
    </x:row>
    <x:row r="12" ht="28" customHeight="1">
      <x:c r="A12" s="16" t="str">
        <x:v>Proposals &amp; tenders</x:v>
      </x:c>
      <x:c r="B12" s="16" t="n">
        <x:v>20</x:v>
      </x:c>
      <x:c r="C12" s="16" t="n">
        <x:v>20</x:v>
      </x:c>
      <x:c r="D12" s="16" t="str">
        <x:f>IF(B12=C12,"PASS","BLOCKER")</x:f>
        <x:v>PASS</x:v>
      </x:c>
      <x:c r="E12" s="16" t="str"/>
    </x:row>
    <x:row r="14" ht="27" customHeight="1">
      <x:c r="A14" s="18" t="str">
        <x:v>Topics — 10 × 14</x:v>
      </x:c>
      <x:c r="B14" s="18"/>
      <x:c r="C14" s="18"/>
      <x:c r="D14" s="18"/>
      <x:c r="E14" s="18"/>
    </x:row>
    <x:row r="15" ht="32" customHeight="1">
      <x:c r="A15" s="13" t="str">
        <x:v>Item</x:v>
      </x:c>
      <x:c r="B15" s="13" t="str">
        <x:v>Expected</x:v>
      </x:c>
      <x:c r="C15" s="13" t="str">
        <x:v>Actual</x:v>
      </x:c>
      <x:c r="D15" s="13" t="str">
        <x:v>Status</x:v>
      </x:c>
      <x:c r="E15" s="13" t="str">
        <x:v>Notes</x:v>
      </x:c>
    </x:row>
    <x:row r="16" ht="28" customHeight="1">
      <x:c r="A16" s="16" t="str">
        <x:v>Culture, leisure &amp; everyday life</x:v>
      </x:c>
      <x:c r="B16" s="16" t="n">
        <x:v>14</x:v>
      </x:c>
      <x:c r="C16" s="16" t="n">
        <x:v>14</x:v>
      </x:c>
      <x:c r="D16" s="16" t="str">
        <x:f>IF(B16=C16,"PASS","BLOCKER")</x:f>
        <x:v>PASS</x:v>
      </x:c>
      <x:c r="E16" s="16" t="str"/>
    </x:row>
    <x:row r="17" ht="28" customHeight="1">
      <x:c r="A17" s="16" t="str">
        <x:v>Education &amp; learning</x:v>
      </x:c>
      <x:c r="B17" s="16" t="n">
        <x:v>14</x:v>
      </x:c>
      <x:c r="C17" s="16" t="n">
        <x:v>14</x:v>
      </x:c>
      <x:c r="D17" s="16" t="str">
        <x:f>IF(B17=C17,"PASS","BLOCKER")</x:f>
        <x:v>PASS</x:v>
      </x:c>
      <x:c r="E17" s="16" t="str"/>
    </x:row>
    <x:row r="18" ht="28" customHeight="1">
      <x:c r="A18" s="16" t="str">
        <x:v>Environment &amp; sustainability</x:v>
      </x:c>
      <x:c r="B18" s="16" t="n">
        <x:v>14</x:v>
      </x:c>
      <x:c r="C18" s="16" t="n">
        <x:v>14</x:v>
      </x:c>
      <x:c r="D18" s="16" t="str">
        <x:f>IF(B18=C18,"PASS","BLOCKER")</x:f>
        <x:v>PASS</x:v>
      </x:c>
      <x:c r="E18" s="16" t="str"/>
    </x:row>
    <x:row r="19" ht="28" customHeight="1">
      <x:c r="A19" s="16" t="str">
        <x:v>Family, community &amp; relationships</x:v>
      </x:c>
      <x:c r="B19" s="16" t="n">
        <x:v>14</x:v>
      </x:c>
      <x:c r="C19" s="16" t="n">
        <x:v>14</x:v>
      </x:c>
      <x:c r="D19" s="16" t="str">
        <x:f>IF(B19=C19,"PASS","BLOCKER")</x:f>
        <x:v>PASS</x:v>
      </x:c>
      <x:c r="E19" s="16" t="str"/>
    </x:row>
    <x:row r="20" ht="28" customHeight="1">
      <x:c r="A20" s="16" t="str">
        <x:v>Health &amp; wellbeing</x:v>
      </x:c>
      <x:c r="B20" s="16" t="n">
        <x:v>14</x:v>
      </x:c>
      <x:c r="C20" s="16" t="n">
        <x:v>14</x:v>
      </x:c>
      <x:c r="D20" s="16" t="str">
        <x:f>IF(B20=C20,"PASS","BLOCKER")</x:f>
        <x:v>PASS</x:v>
      </x:c>
      <x:c r="E20" s="16" t="str"/>
    </x:row>
    <x:row r="21" ht="28" customHeight="1">
      <x:c r="A21" s="16" t="str">
        <x:v>Money &amp; the economy</x:v>
      </x:c>
      <x:c r="B21" s="16" t="n">
        <x:v>14</x:v>
      </x:c>
      <x:c r="C21" s="16" t="n">
        <x:v>14</x:v>
      </x:c>
      <x:c r="D21" s="16" t="str">
        <x:f>IF(B21=C21,"PASS","BLOCKER")</x:f>
        <x:v>PASS</x:v>
      </x:c>
      <x:c r="E21" s="16" t="str"/>
    </x:row>
    <x:row r="22" ht="28" customHeight="1">
      <x:c r="A22" s="16" t="str">
        <x:v>Public services &amp; civic life</x:v>
      </x:c>
      <x:c r="B22" s="16" t="n">
        <x:v>14</x:v>
      </x:c>
      <x:c r="C22" s="16" t="n">
        <x:v>14</x:v>
      </x:c>
      <x:c r="D22" s="16" t="str">
        <x:f>IF(B22=C22,"PASS","BLOCKER")</x:f>
        <x:v>PASS</x:v>
      </x:c>
      <x:c r="E22" s="16" t="str"/>
    </x:row>
    <x:row r="23" ht="28" customHeight="1">
      <x:c r="A23" s="16" t="str">
        <x:v>Technology &amp; digital life</x:v>
      </x:c>
      <x:c r="B23" s="16" t="n">
        <x:v>14</x:v>
      </x:c>
      <x:c r="C23" s="16" t="n">
        <x:v>14</x:v>
      </x:c>
      <x:c r="D23" s="16" t="str">
        <x:f>IF(B23=C23,"PASS","BLOCKER")</x:f>
        <x:v>PASS</x:v>
      </x:c>
      <x:c r="E23" s="16" t="str"/>
    </x:row>
    <x:row r="24" ht="28" customHeight="1">
      <x:c r="A24" s="16" t="str">
        <x:v>Transport, housing &amp; places</x:v>
      </x:c>
      <x:c r="B24" s="16" t="n">
        <x:v>14</x:v>
      </x:c>
      <x:c r="C24" s="16" t="n">
        <x:v>14</x:v>
      </x:c>
      <x:c r="D24" s="16" t="str">
        <x:f>IF(B24=C24,"PASS","BLOCKER")</x:f>
        <x:v>PASS</x:v>
      </x:c>
      <x:c r="E24" s="16" t="str"/>
    </x:row>
    <x:row r="25" ht="28" customHeight="1">
      <x:c r="A25" s="16" t="str">
        <x:v>Work &amp; organisations</x:v>
      </x:c>
      <x:c r="B25" s="16" t="n">
        <x:v>14</x:v>
      </x:c>
      <x:c r="C25" s="16" t="n">
        <x:v>14</x:v>
      </x:c>
      <x:c r="D25" s="16" t="str">
        <x:f>IF(B25=C25,"PASS","BLOCKER")</x:f>
        <x:v>PASS</x:v>
      </x:c>
      <x:c r="E25" s="16" t="str"/>
    </x:row>
    <x:row r="27" ht="27" customHeight="1">
      <x:c r="A27" s="18" t="str">
        <x:v>Length tiers</x:v>
      </x:c>
      <x:c r="B27" s="18"/>
      <x:c r="C27" s="18"/>
      <x:c r="D27" s="18"/>
      <x:c r="E27" s="18"/>
    </x:row>
    <x:row r="28" ht="32" customHeight="1">
      <x:c r="A28" s="13" t="str">
        <x:v>Item</x:v>
      </x:c>
      <x:c r="B28" s="13" t="str">
        <x:v>Expected</x:v>
      </x:c>
      <x:c r="C28" s="13" t="str">
        <x:v>Actual</x:v>
      </x:c>
      <x:c r="D28" s="13" t="str">
        <x:v>Status</x:v>
      </x:c>
      <x:c r="E28" s="13" t="str">
        <x:v>Notes</x:v>
      </x:c>
    </x:row>
    <x:row r="29" ht="28" customHeight="1">
      <x:c r="A29" s="16" t="str">
        <x:v>Compact</x:v>
      </x:c>
      <x:c r="B29" s="16" t="n">
        <x:v>28</x:v>
      </x:c>
      <x:c r="C29" s="16" t="n">
        <x:v>28</x:v>
      </x:c>
      <x:c r="D29" s="16" t="str">
        <x:f>IF(B29=C29,"PASS","BLOCKER")</x:f>
        <x:v>PASS</x:v>
      </x:c>
      <x:c r="E29" s="16" t="str"/>
    </x:row>
    <x:row r="30" ht="28" customHeight="1">
      <x:c r="A30" s="16" t="str">
        <x:v>Extended</x:v>
      </x:c>
      <x:c r="B30" s="16" t="n">
        <x:v>34</x:v>
      </x:c>
      <x:c r="C30" s="16" t="n">
        <x:v>34</x:v>
      </x:c>
      <x:c r="D30" s="16" t="str">
        <x:f>IF(B30=C30,"PASS","BLOCKER")</x:f>
        <x:v>PASS</x:v>
      </x:c>
      <x:c r="E30" s="16" t="str"/>
    </x:row>
    <x:row r="31" ht="28" customHeight="1">
      <x:c r="A31" s="16" t="str">
        <x:v>Standard</x:v>
      </x:c>
      <x:c r="B31" s="16" t="n">
        <x:v>78</x:v>
      </x:c>
      <x:c r="C31" s="16" t="n">
        <x:v>78</x:v>
      </x:c>
      <x:c r="D31" s="16" t="str">
        <x:f>IF(B31=C31,"PASS","BLOCKER")</x:f>
        <x:v>PASS</x:v>
      </x:c>
      <x:c r="E31" s="16" t="str"/>
    </x:row>
    <x:row r="33" ht="27" customHeight="1">
      <x:c r="A33" s="18" t="str">
        <x:v>Difficulty</x:v>
      </x:c>
      <x:c r="B33" s="18"/>
      <x:c r="C33" s="18"/>
      <x:c r="D33" s="18"/>
      <x:c r="E33" s="18"/>
    </x:row>
    <x:row r="34" ht="32" customHeight="1">
      <x:c r="A34" s="13" t="str">
        <x:v>Item</x:v>
      </x:c>
      <x:c r="B34" s="13" t="str">
        <x:v>Expected</x:v>
      </x:c>
      <x:c r="C34" s="13" t="str">
        <x:v>Actual</x:v>
      </x:c>
      <x:c r="D34" s="13" t="str">
        <x:v>Status</x:v>
      </x:c>
      <x:c r="E34" s="13" t="str">
        <x:v>Notes</x:v>
      </x:c>
    </x:row>
    <x:row r="35" ht="28" customHeight="1">
      <x:c r="A35" s="16" t="str">
        <x:v>Accessible</x:v>
      </x:c>
      <x:c r="B35" s="16" t="n">
        <x:v>35</x:v>
      </x:c>
      <x:c r="C35" s="16" t="n">
        <x:v>35</x:v>
      </x:c>
      <x:c r="D35" s="16" t="str">
        <x:f>IF(B35=C35,"PASS","BLOCKER")</x:f>
        <x:v>PASS</x:v>
      </x:c>
      <x:c r="E35" s="16" t="str"/>
    </x:row>
    <x:row r="36" ht="28" customHeight="1">
      <x:c r="A36" s="16" t="str">
        <x:v>Challenging</x:v>
      </x:c>
      <x:c r="B36" s="16" t="n">
        <x:v>35</x:v>
      </x:c>
      <x:c r="C36" s="16" t="n">
        <x:v>35</x:v>
      </x:c>
      <x:c r="D36" s="16" t="str">
        <x:f>IF(B36=C36,"PASS","BLOCKER")</x:f>
        <x:v>PASS</x:v>
      </x:c>
      <x:c r="E36" s="16" t="str"/>
    </x:row>
    <x:row r="37" ht="28" customHeight="1">
      <x:c r="A37" s="16" t="str">
        <x:v>Core</x:v>
      </x:c>
      <x:c r="B37" s="16" t="n">
        <x:v>70</x:v>
      </x:c>
      <x:c r="C37" s="16" t="n">
        <x:v>70</x:v>
      </x:c>
      <x:c r="D37" s="16" t="str">
        <x:f>IF(B37=C37,"PASS","BLOCKER")</x:f>
        <x:v>PASS</x:v>
      </x:c>
      <x:c r="E37" s="16" t="str"/>
    </x:row>
    <x:row r="39" ht="27" customHeight="1">
      <x:c r="A39" s="18" t="str">
        <x:v>Category × Topic — 70 cells × 2</x:v>
      </x:c>
      <x:c r="B39" s="18"/>
      <x:c r="C39" s="18"/>
      <x:c r="D39" s="18"/>
      <x:c r="E39" s="18"/>
    </x:row>
    <x:row r="40" ht="32" customHeight="1">
      <x:c r="A40" s="13" t="str">
        <x:v>Item</x:v>
      </x:c>
      <x:c r="B40" s="13" t="str">
        <x:v>Expected</x:v>
      </x:c>
      <x:c r="C40" s="13" t="str">
        <x:v>Actual</x:v>
      </x:c>
      <x:c r="D40" s="13" t="str">
        <x:v>Status</x:v>
      </x:c>
      <x:c r="E40" s="13" t="str">
        <x:v>Notes</x:v>
      </x:c>
    </x:row>
    <x:row r="41" ht="28" customHeight="1">
      <x:c r="A41" s="16" t="str">
        <x:v>Articles × Work &amp; organisations</x:v>
      </x:c>
      <x:c r="B41" s="16" t="n">
        <x:v>2</x:v>
      </x:c>
      <x:c r="C41" s="16" t="n">
        <x:v>2</x:v>
      </x:c>
      <x:c r="D41" s="16" t="str">
        <x:f>IF(B41=C41,"PASS","BLOCKER")</x:f>
        <x:v>PASS</x:v>
      </x:c>
      <x:c r="E41" s="16" t="str"/>
    </x:row>
    <x:row r="42" ht="28" customHeight="1">
      <x:c r="A42" s="16" t="str">
        <x:v>Articles × Transport, housing &amp; places</x:v>
      </x:c>
      <x:c r="B42" s="16" t="n">
        <x:v>2</x:v>
      </x:c>
      <x:c r="C42" s="16" t="n">
        <x:v>2</x:v>
      </x:c>
      <x:c r="D42" s="16" t="str">
        <x:f>IF(B42=C42,"PASS","BLOCKER")</x:f>
        <x:v>PASS</x:v>
      </x:c>
      <x:c r="E42" s="16" t="str"/>
    </x:row>
    <x:row r="43" ht="28" customHeight="1">
      <x:c r="A43" s="16" t="str">
        <x:v>Personal writing × Technology &amp; digital life</x:v>
      </x:c>
      <x:c r="B43" s="16" t="n">
        <x:v>2</x:v>
      </x:c>
      <x:c r="C43" s="16" t="n">
        <x:v>2</x:v>
      </x:c>
      <x:c r="D43" s="16" t="str">
        <x:f>IF(B43=C43,"PASS","BLOCKER")</x:f>
        <x:v>PASS</x:v>
      </x:c>
      <x:c r="E43" s="16" t="str"/>
    </x:row>
    <x:row r="44" ht="28" customHeight="1">
      <x:c r="A44" s="16" t="str">
        <x:v>Personal writing × Money &amp; the economy</x:v>
      </x:c>
      <x:c r="B44" s="16" t="n">
        <x:v>2</x:v>
      </x:c>
      <x:c r="C44" s="16" t="n">
        <x:v>2</x:v>
      </x:c>
      <x:c r="D44" s="16" t="str">
        <x:f>IF(B44=C44,"PASS","BLOCKER")</x:f>
        <x:v>PASS</x:v>
      </x:c>
      <x:c r="E44" s="16" t="str"/>
    </x:row>
    <x:row r="45" ht="28" customHeight="1">
      <x:c r="A45" s="16" t="str">
        <x:v>News × Health &amp; wellbeing</x:v>
      </x:c>
      <x:c r="B45" s="16" t="n">
        <x:v>2</x:v>
      </x:c>
      <x:c r="C45" s="16" t="n">
        <x:v>2</x:v>
      </x:c>
      <x:c r="D45" s="16" t="str">
        <x:f>IF(B45=C45,"PASS","BLOCKER")</x:f>
        <x:v>PASS</x:v>
      </x:c>
      <x:c r="E45" s="16" t="str"/>
    </x:row>
    <x:row r="46" ht="28" customHeight="1">
      <x:c r="A46" s="16" t="str">
        <x:v>News × Public services &amp; civic life</x:v>
      </x:c>
      <x:c r="B46" s="16" t="n">
        <x:v>2</x:v>
      </x:c>
      <x:c r="C46" s="16" t="n">
        <x:v>2</x:v>
      </x:c>
      <x:c r="D46" s="16" t="str">
        <x:f>IF(B46=C46,"PASS","BLOCKER")</x:f>
        <x:v>PASS</x:v>
      </x:c>
      <x:c r="E46" s="16" t="str"/>
    </x:row>
    <x:row r="47" ht="28" customHeight="1">
      <x:c r="A47" s="16" t="str">
        <x:v>Business communication × Education &amp; learning</x:v>
      </x:c>
      <x:c r="B47" s="16" t="n">
        <x:v>2</x:v>
      </x:c>
      <x:c r="C47" s="16" t="n">
        <x:v>2</x:v>
      </x:c>
      <x:c r="D47" s="16" t="str">
        <x:f>IF(B47=C47,"PASS","BLOCKER")</x:f>
        <x:v>PASS</x:v>
      </x:c>
      <x:c r="E47" s="16" t="str"/>
    </x:row>
    <x:row r="48" ht="28" customHeight="1">
      <x:c r="A48" s="16" t="str">
        <x:v>Business communication × Family, community &amp; relationships</x:v>
      </x:c>
      <x:c r="B48" s="16" t="n">
        <x:v>2</x:v>
      </x:c>
      <x:c r="C48" s="16" t="n">
        <x:v>2</x:v>
      </x:c>
      <x:c r="D48" s="16" t="str">
        <x:f>IF(B48=C48,"PASS","BLOCKER")</x:f>
        <x:v>PASS</x:v>
      </x:c>
      <x:c r="E48" s="16" t="str"/>
    </x:row>
    <x:row r="49" ht="28" customHeight="1">
      <x:c r="A49" s="16" t="str">
        <x:v>Government &amp; public information × Environment &amp; sustainability</x:v>
      </x:c>
      <x:c r="B49" s="16" t="n">
        <x:v>2</x:v>
      </x:c>
      <x:c r="C49" s="16" t="n">
        <x:v>2</x:v>
      </x:c>
      <x:c r="D49" s="16" t="str">
        <x:f>IF(B49=C49,"PASS","BLOCKER")</x:f>
        <x:v>PASS</x:v>
      </x:c>
      <x:c r="E49" s="16" t="str"/>
    </x:row>
    <x:row r="50" ht="28" customHeight="1">
      <x:c r="A50" s="16" t="str">
        <x:v>Government &amp; public information × Culture, leisure &amp; everyday life</x:v>
      </x:c>
      <x:c r="B50" s="16" t="n">
        <x:v>2</x:v>
      </x:c>
      <x:c r="C50" s="16" t="n">
        <x:v>2</x:v>
      </x:c>
      <x:c r="D50" s="16" t="str">
        <x:f>IF(B50=C50,"PASS","BLOCKER")</x:f>
        <x:v>PASS</x:v>
      </x:c>
      <x:c r="E50" s="16" t="str"/>
    </x:row>
    <x:row r="51" ht="28" customHeight="1">
      <x:c r="A51" s="16" t="str">
        <x:v>Proposals &amp; tenders × Work &amp; organisations</x:v>
      </x:c>
      <x:c r="B51" s="16" t="n">
        <x:v>2</x:v>
      </x:c>
      <x:c r="C51" s="16" t="n">
        <x:v>2</x:v>
      </x:c>
      <x:c r="D51" s="16" t="str">
        <x:f>IF(B51=C51,"PASS","BLOCKER")</x:f>
        <x:v>PASS</x:v>
      </x:c>
      <x:c r="E51" s="16" t="str"/>
    </x:row>
    <x:row r="52" ht="28" customHeight="1">
      <x:c r="A52" s="16" t="str">
        <x:v>Proposals &amp; tenders × Transport, housing &amp; places</x:v>
      </x:c>
      <x:c r="B52" s="16" t="n">
        <x:v>2</x:v>
      </x:c>
      <x:c r="C52" s="16" t="n">
        <x:v>2</x:v>
      </x:c>
      <x:c r="D52" s="16" t="str">
        <x:f>IF(B52=C52,"PASS","BLOCKER")</x:f>
        <x:v>PASS</x:v>
      </x:c>
      <x:c r="E52" s="16" t="str"/>
    </x:row>
    <x:row r="53" ht="28" customHeight="1">
      <x:c r="A53" s="16" t="str">
        <x:v>Legal &amp; contracts × Technology &amp; digital life</x:v>
      </x:c>
      <x:c r="B53" s="16" t="n">
        <x:v>2</x:v>
      </x:c>
      <x:c r="C53" s="16" t="n">
        <x:v>2</x:v>
      </x:c>
      <x:c r="D53" s="16" t="str">
        <x:f>IF(B53=C53,"PASS","BLOCKER")</x:f>
        <x:v>PASS</x:v>
      </x:c>
      <x:c r="E53" s="16" t="str"/>
    </x:row>
    <x:row r="54" ht="28" customHeight="1">
      <x:c r="A54" s="16" t="str">
        <x:v>Legal &amp; contracts × Money &amp; the economy</x:v>
      </x:c>
      <x:c r="B54" s="16" t="n">
        <x:v>2</x:v>
      </x:c>
      <x:c r="C54" s="16" t="n">
        <x:v>2</x:v>
      </x:c>
      <x:c r="D54" s="16" t="str">
        <x:f>IF(B54=C54,"PASS","BLOCKER")</x:f>
        <x:v>PASS</x:v>
      </x:c>
      <x:c r="E54" s="16" t="str"/>
    </x:row>
    <x:row r="55" ht="28" customHeight="1">
      <x:c r="A55" s="16" t="str">
        <x:v>Articles × Public services &amp; civic life</x:v>
      </x:c>
      <x:c r="B55" s="16" t="n">
        <x:v>2</x:v>
      </x:c>
      <x:c r="C55" s="16" t="n">
        <x:v>2</x:v>
      </x:c>
      <x:c r="D55" s="16" t="str">
        <x:f>IF(B55=C55,"PASS","BLOCKER")</x:f>
        <x:v>PASS</x:v>
      </x:c>
      <x:c r="E55" s="16" t="str"/>
    </x:row>
    <x:row r="56" ht="28" customHeight="1">
      <x:c r="A56" s="16" t="str">
        <x:v>Personal writing × Culture, leisure &amp; everyday life</x:v>
      </x:c>
      <x:c r="B56" s="16" t="n">
        <x:v>2</x:v>
      </x:c>
      <x:c r="C56" s="16" t="n">
        <x:v>2</x:v>
      </x:c>
      <x:c r="D56" s="16" t="str">
        <x:f>IF(B56=C56,"PASS","BLOCKER")</x:f>
        <x:v>PASS</x:v>
      </x:c>
      <x:c r="E56" s="16" t="str"/>
    </x:row>
    <x:row r="57" ht="28" customHeight="1">
      <x:c r="A57" s="16" t="str">
        <x:v>News × Money &amp; the economy</x:v>
      </x:c>
      <x:c r="B57" s="16" t="n">
        <x:v>2</x:v>
      </x:c>
      <x:c r="C57" s="16" t="n">
        <x:v>2</x:v>
      </x:c>
      <x:c r="D57" s="16" t="str">
        <x:f>IF(B57=C57,"PASS","BLOCKER")</x:f>
        <x:v>PASS</x:v>
      </x:c>
      <x:c r="E57" s="16" t="str"/>
    </x:row>
    <x:row r="58" ht="28" customHeight="1">
      <x:c r="A58" s="16" t="str">
        <x:v>Business communication × Transport, housing &amp; places</x:v>
      </x:c>
      <x:c r="B58" s="16" t="n">
        <x:v>2</x:v>
      </x:c>
      <x:c r="C58" s="16" t="n">
        <x:v>2</x:v>
      </x:c>
      <x:c r="D58" s="16" t="str">
        <x:f>IF(B58=C58,"PASS","BLOCKER")</x:f>
        <x:v>PASS</x:v>
      </x:c>
      <x:c r="E58" s="16" t="str"/>
    </x:row>
    <x:row r="59" ht="28" customHeight="1">
      <x:c r="A59" s="16" t="str">
        <x:v>Government &amp; public information × Health &amp; wellbeing</x:v>
      </x:c>
      <x:c r="B59" s="16" t="n">
        <x:v>2</x:v>
      </x:c>
      <x:c r="C59" s="16" t="n">
        <x:v>2</x:v>
      </x:c>
      <x:c r="D59" s="16" t="str">
        <x:f>IF(B59=C59,"PASS","BLOCKER")</x:f>
        <x:v>PASS</x:v>
      </x:c>
      <x:c r="E59" s="16" t="str"/>
    </x:row>
    <x:row r="60" ht="28" customHeight="1">
      <x:c r="A60" s="16" t="str">
        <x:v>Government &amp; public information × Transport, housing &amp; places</x:v>
      </x:c>
      <x:c r="B60" s="16" t="n">
        <x:v>2</x:v>
      </x:c>
      <x:c r="C60" s="16" t="n">
        <x:v>2</x:v>
      </x:c>
      <x:c r="D60" s="16" t="str">
        <x:f>IF(B60=C60,"PASS","BLOCKER")</x:f>
        <x:v>PASS</x:v>
      </x:c>
      <x:c r="E60" s="16" t="str"/>
    </x:row>
    <x:row r="61" ht="28" customHeight="1">
      <x:c r="A61" s="16" t="str">
        <x:v>Proposals &amp; tenders × Education &amp; learning</x:v>
      </x:c>
      <x:c r="B61" s="16" t="n">
        <x:v>2</x:v>
      </x:c>
      <x:c r="C61" s="16" t="n">
        <x:v>2</x:v>
      </x:c>
      <x:c r="D61" s="16" t="str">
        <x:f>IF(B61=C61,"PASS","BLOCKER")</x:f>
        <x:v>PASS</x:v>
      </x:c>
      <x:c r="E61" s="16" t="str"/>
    </x:row>
    <x:row r="62" ht="28" customHeight="1">
      <x:c r="A62" s="16" t="str">
        <x:v>Proposals &amp; tenders × Environment &amp; sustainability</x:v>
      </x:c>
      <x:c r="B62" s="16" t="n">
        <x:v>2</x:v>
      </x:c>
      <x:c r="C62" s="16" t="n">
        <x:v>2</x:v>
      </x:c>
      <x:c r="D62" s="16" t="str">
        <x:f>IF(B62=C62,"PASS","BLOCKER")</x:f>
        <x:v>PASS</x:v>
      </x:c>
      <x:c r="E62" s="16" t="str"/>
    </x:row>
    <x:row r="63" ht="28" customHeight="1">
      <x:c r="A63" s="16" t="str">
        <x:v>Legal &amp; contracts × Transport, housing &amp; places</x:v>
      </x:c>
      <x:c r="B63" s="16" t="n">
        <x:v>2</x:v>
      </x:c>
      <x:c r="C63" s="16" t="n">
        <x:v>2</x:v>
      </x:c>
      <x:c r="D63" s="16" t="str">
        <x:f>IF(B63=C63,"PASS","BLOCKER")</x:f>
        <x:v>PASS</x:v>
      </x:c>
      <x:c r="E63" s="16" t="str"/>
    </x:row>
    <x:row r="64" ht="28" customHeight="1">
      <x:c r="A64" s="16" t="str">
        <x:v>Legal &amp; contracts × Culture, leisure &amp; everyday life</x:v>
      </x:c>
      <x:c r="B64" s="16" t="n">
        <x:v>2</x:v>
      </x:c>
      <x:c r="C64" s="16" t="n">
        <x:v>2</x:v>
      </x:c>
      <x:c r="D64" s="16" t="str">
        <x:f>IF(B64=C64,"PASS","BLOCKER")</x:f>
        <x:v>PASS</x:v>
      </x:c>
      <x:c r="E64" s="16" t="str"/>
    </x:row>
    <x:row r="65" ht="28" customHeight="1">
      <x:c r="A65" s="16" t="str">
        <x:v>Articles × Health &amp; wellbeing</x:v>
      </x:c>
      <x:c r="B65" s="16" t="n">
        <x:v>2</x:v>
      </x:c>
      <x:c r="C65" s="16" t="n">
        <x:v>2</x:v>
      </x:c>
      <x:c r="D65" s="16" t="str">
        <x:f>IF(B65=C65,"PASS","BLOCKER")</x:f>
        <x:v>PASS</x:v>
      </x:c>
      <x:c r="E65" s="16" t="str"/>
    </x:row>
    <x:row r="66" ht="28" customHeight="1">
      <x:c r="A66" s="16" t="str">
        <x:v>Articles × Environment &amp; sustainability</x:v>
      </x:c>
      <x:c r="B66" s="16" t="n">
        <x:v>2</x:v>
      </x:c>
      <x:c r="C66" s="16" t="n">
        <x:v>2</x:v>
      </x:c>
      <x:c r="D66" s="16" t="str">
        <x:f>IF(B66=C66,"PASS","BLOCKER")</x:f>
        <x:v>PASS</x:v>
      </x:c>
      <x:c r="E66" s="16" t="str"/>
    </x:row>
    <x:row r="67" ht="28" customHeight="1">
      <x:c r="A67" s="16" t="str">
        <x:v>Personal writing × Education &amp; learning</x:v>
      </x:c>
      <x:c r="B67" s="16" t="n">
        <x:v>2</x:v>
      </x:c>
      <x:c r="C67" s="16" t="n">
        <x:v>2</x:v>
      </x:c>
      <x:c r="D67" s="16" t="str">
        <x:f>IF(B67=C67,"PASS","BLOCKER")</x:f>
        <x:v>PASS</x:v>
      </x:c>
      <x:c r="E67" s="16" t="str"/>
    </x:row>
    <x:row r="68" ht="28" customHeight="1">
      <x:c r="A68" s="16" t="str">
        <x:v>News × Transport, housing &amp; places</x:v>
      </x:c>
      <x:c r="B68" s="16" t="n">
        <x:v>2</x:v>
      </x:c>
      <x:c r="C68" s="16" t="n">
        <x:v>2</x:v>
      </x:c>
      <x:c r="D68" s="16" t="str">
        <x:f>IF(B68=C68,"PASS","BLOCKER")</x:f>
        <x:v>PASS</x:v>
      </x:c>
      <x:c r="E68" s="16" t="str"/>
    </x:row>
    <x:row r="69" ht="28" customHeight="1">
      <x:c r="A69" s="16" t="str">
        <x:v>News × Family, community &amp; relationships</x:v>
      </x:c>
      <x:c r="B69" s="16" t="n">
        <x:v>2</x:v>
      </x:c>
      <x:c r="C69" s="16" t="n">
        <x:v>2</x:v>
      </x:c>
      <x:c r="D69" s="16" t="str">
        <x:f>IF(B69=C69,"PASS","BLOCKER")</x:f>
        <x:v>PASS</x:v>
      </x:c>
      <x:c r="E69" s="16" t="str"/>
    </x:row>
    <x:row r="70" ht="28" customHeight="1">
      <x:c r="A70" s="16" t="str">
        <x:v>Business communication × Environment &amp; sustainability</x:v>
      </x:c>
      <x:c r="B70" s="16" t="n">
        <x:v>2</x:v>
      </x:c>
      <x:c r="C70" s="16" t="n">
        <x:v>2</x:v>
      </x:c>
      <x:c r="D70" s="16" t="str">
        <x:f>IF(B70=C70,"PASS","BLOCKER")</x:f>
        <x:v>PASS</x:v>
      </x:c>
      <x:c r="E70" s="16" t="str"/>
    </x:row>
    <x:row r="71" ht="28" customHeight="1">
      <x:c r="A71" s="16" t="str">
        <x:v>Business communication × Money &amp; the economy</x:v>
      </x:c>
      <x:c r="B71" s="16" t="n">
        <x:v>2</x:v>
      </x:c>
      <x:c r="C71" s="16" t="n">
        <x:v>2</x:v>
      </x:c>
      <x:c r="D71" s="16" t="str">
        <x:f>IF(B71=C71,"PASS","BLOCKER")</x:f>
        <x:v>PASS</x:v>
      </x:c>
      <x:c r="E71" s="16" t="str"/>
    </x:row>
    <x:row r="72" ht="28" customHeight="1">
      <x:c r="A72" s="16" t="str">
        <x:v>Government &amp; public information × Technology &amp; digital life</x:v>
      </x:c>
      <x:c r="B72" s="16" t="n">
        <x:v>2</x:v>
      </x:c>
      <x:c r="C72" s="16" t="n">
        <x:v>2</x:v>
      </x:c>
      <x:c r="D72" s="16" t="str">
        <x:f>IF(B72=C72,"PASS","BLOCKER")</x:f>
        <x:v>PASS</x:v>
      </x:c>
      <x:c r="E72" s="16" t="str"/>
    </x:row>
    <x:row r="73" ht="28" customHeight="1">
      <x:c r="A73" s="16" t="str">
        <x:v>Proposals &amp; tenders × Public services &amp; civic life</x:v>
      </x:c>
      <x:c r="B73" s="16" t="n">
        <x:v>2</x:v>
      </x:c>
      <x:c r="C73" s="16" t="n">
        <x:v>2</x:v>
      </x:c>
      <x:c r="D73" s="16" t="str">
        <x:f>IF(B73=C73,"PASS","BLOCKER")</x:f>
        <x:v>PASS</x:v>
      </x:c>
      <x:c r="E73" s="16" t="str"/>
    </x:row>
    <x:row r="74" ht="28" customHeight="1">
      <x:c r="A74" s="16" t="str">
        <x:v>Proposals &amp; tenders × Family, community &amp; relationships</x:v>
      </x:c>
      <x:c r="B74" s="16" t="n">
        <x:v>2</x:v>
      </x:c>
      <x:c r="C74" s="16" t="n">
        <x:v>2</x:v>
      </x:c>
      <x:c r="D74" s="16" t="str">
        <x:f>IF(B74=C74,"PASS","BLOCKER")</x:f>
        <x:v>PASS</x:v>
      </x:c>
      <x:c r="E74" s="16" t="str"/>
    </x:row>
    <x:row r="75" ht="28" customHeight="1">
      <x:c r="A75" s="16" t="str">
        <x:v>Legal &amp; contracts × Work &amp; organisations</x:v>
      </x:c>
      <x:c r="B75" s="16" t="n">
        <x:v>2</x:v>
      </x:c>
      <x:c r="C75" s="16" t="n">
        <x:v>2</x:v>
      </x:c>
      <x:c r="D75" s="16" t="str">
        <x:f>IF(B75=C75,"PASS","BLOCKER")</x:f>
        <x:v>PASS</x:v>
      </x:c>
      <x:c r="E75" s="16" t="str"/>
    </x:row>
    <x:row r="76" ht="28" customHeight="1">
      <x:c r="A76" s="16" t="str">
        <x:v>Legal &amp; contracts × Education &amp; learning</x:v>
      </x:c>
      <x:c r="B76" s="16" t="n">
        <x:v>2</x:v>
      </x:c>
      <x:c r="C76" s="16" t="n">
        <x:v>2</x:v>
      </x:c>
      <x:c r="D76" s="16" t="str">
        <x:f>IF(B76=C76,"PASS","BLOCKER")</x:f>
        <x:v>PASS</x:v>
      </x:c>
      <x:c r="E76" s="16" t="str"/>
    </x:row>
    <x:row r="77" ht="28" customHeight="1">
      <x:c r="A77" s="16" t="str">
        <x:v>Articles × Technology &amp; digital life</x:v>
      </x:c>
      <x:c r="B77" s="16" t="n">
        <x:v>2</x:v>
      </x:c>
      <x:c r="C77" s="16" t="n">
        <x:v>2</x:v>
      </x:c>
      <x:c r="D77" s="16" t="str">
        <x:f>IF(B77=C77,"PASS","BLOCKER")</x:f>
        <x:v>PASS</x:v>
      </x:c>
      <x:c r="E77" s="16" t="str"/>
    </x:row>
    <x:row r="78" ht="28" customHeight="1">
      <x:c r="A78" s="16" t="str">
        <x:v>Articles × Money &amp; the economy</x:v>
      </x:c>
      <x:c r="B78" s="16" t="n">
        <x:v>2</x:v>
      </x:c>
      <x:c r="C78" s="16" t="n">
        <x:v>2</x:v>
      </x:c>
      <x:c r="D78" s="16" t="str">
        <x:f>IF(B78=C78,"PASS","BLOCKER")</x:f>
        <x:v>PASS</x:v>
      </x:c>
      <x:c r="E78" s="16" t="str"/>
    </x:row>
    <x:row r="79" ht="28" customHeight="1">
      <x:c r="A79" s="16" t="str">
        <x:v>Personal writing × Health &amp; wellbeing</x:v>
      </x:c>
      <x:c r="B79" s="16" t="n">
        <x:v>2</x:v>
      </x:c>
      <x:c r="C79" s="16" t="n">
        <x:v>2</x:v>
      </x:c>
      <x:c r="D79" s="16" t="str">
        <x:f>IF(B79=C79,"PASS","BLOCKER")</x:f>
        <x:v>PASS</x:v>
      </x:c>
      <x:c r="E79" s="16" t="str"/>
    </x:row>
    <x:row r="80" ht="28" customHeight="1">
      <x:c r="A80" s="16" t="str">
        <x:v>Personal writing × Environment &amp; sustainability</x:v>
      </x:c>
      <x:c r="B80" s="16" t="n">
        <x:v>2</x:v>
      </x:c>
      <x:c r="C80" s="16" t="n">
        <x:v>2</x:v>
      </x:c>
      <x:c r="D80" s="16" t="str">
        <x:f>IF(B80=C80,"PASS","BLOCKER")</x:f>
        <x:v>PASS</x:v>
      </x:c>
      <x:c r="E80" s="16" t="str"/>
    </x:row>
    <x:row r="81" ht="28" customHeight="1">
      <x:c r="A81" s="16" t="str">
        <x:v>News × Education &amp; learning</x:v>
      </x:c>
      <x:c r="B81" s="16" t="n">
        <x:v>2</x:v>
      </x:c>
      <x:c r="C81" s="16" t="n">
        <x:v>2</x:v>
      </x:c>
      <x:c r="D81" s="16" t="str">
        <x:f>IF(B81=C81,"PASS","BLOCKER")</x:f>
        <x:v>PASS</x:v>
      </x:c>
      <x:c r="E81" s="16" t="str"/>
    </x:row>
    <x:row r="82" ht="28" customHeight="1">
      <x:c r="A82" s="16" t="str">
        <x:v>News × Environment &amp; sustainability</x:v>
      </x:c>
      <x:c r="B82" s="16" t="n">
        <x:v>2</x:v>
      </x:c>
      <x:c r="C82" s="16" t="n">
        <x:v>2</x:v>
      </x:c>
      <x:c r="D82" s="16" t="str">
        <x:f>IF(B82=C82,"PASS","BLOCKER")</x:f>
        <x:v>PASS</x:v>
      </x:c>
      <x:c r="E82" s="16" t="str"/>
    </x:row>
    <x:row r="83" ht="28" customHeight="1">
      <x:c r="A83" s="16" t="str">
        <x:v>Business communication × Work &amp; organisations</x:v>
      </x:c>
      <x:c r="B83" s="16" t="n">
        <x:v>2</x:v>
      </x:c>
      <x:c r="C83" s="16" t="n">
        <x:v>2</x:v>
      </x:c>
      <x:c r="D83" s="16" t="str">
        <x:f>IF(B83=C83,"PASS","BLOCKER")</x:f>
        <x:v>PASS</x:v>
      </x:c>
      <x:c r="E83" s="16" t="str"/>
    </x:row>
    <x:row r="84" ht="28" customHeight="1">
      <x:c r="A84" s="16" t="str">
        <x:v>Business communication × Culture, leisure &amp; everyday life</x:v>
      </x:c>
      <x:c r="B84" s="16" t="n">
        <x:v>2</x:v>
      </x:c>
      <x:c r="C84" s="16" t="n">
        <x:v>2</x:v>
      </x:c>
      <x:c r="D84" s="16" t="str">
        <x:f>IF(B84=C84,"PASS","BLOCKER")</x:f>
        <x:v>PASS</x:v>
      </x:c>
      <x:c r="E84" s="16" t="str"/>
    </x:row>
    <x:row r="85" ht="28" customHeight="1">
      <x:c r="A85" s="16" t="str">
        <x:v>Government &amp; public information × Public services &amp; civic life</x:v>
      </x:c>
      <x:c r="B85" s="16" t="n">
        <x:v>2</x:v>
      </x:c>
      <x:c r="C85" s="16" t="n">
        <x:v>2</x:v>
      </x:c>
      <x:c r="D85" s="16" t="str">
        <x:f>IF(B85=C85,"PASS","BLOCKER")</x:f>
        <x:v>PASS</x:v>
      </x:c>
      <x:c r="E85" s="16" t="str"/>
    </x:row>
    <x:row r="86" ht="28" customHeight="1">
      <x:c r="A86" s="16" t="str">
        <x:v>Proposals &amp; tenders × Culture, leisure &amp; everyday life</x:v>
      </x:c>
      <x:c r="B86" s="16" t="n">
        <x:v>2</x:v>
      </x:c>
      <x:c r="C86" s="16" t="n">
        <x:v>2</x:v>
      </x:c>
      <x:c r="D86" s="16" t="str">
        <x:f>IF(B86=C86,"PASS","BLOCKER")</x:f>
        <x:v>PASS</x:v>
      </x:c>
      <x:c r="E86" s="16" t="str"/>
    </x:row>
    <x:row r="87" ht="28" customHeight="1">
      <x:c r="A87" s="16" t="str">
        <x:v>Personal writing × Public services &amp; civic life</x:v>
      </x:c>
      <x:c r="B87" s="16" t="n">
        <x:v>2</x:v>
      </x:c>
      <x:c r="C87" s="16" t="n">
        <x:v>2</x:v>
      </x:c>
      <x:c r="D87" s="16" t="str">
        <x:f>IF(B87=C87,"PASS","BLOCKER")</x:f>
        <x:v>PASS</x:v>
      </x:c>
      <x:c r="E87" s="16" t="str"/>
    </x:row>
    <x:row r="88" ht="28" customHeight="1">
      <x:c r="A88" s="16" t="str">
        <x:v>News × Technology &amp; digital life</x:v>
      </x:c>
      <x:c r="B88" s="16" t="n">
        <x:v>2</x:v>
      </x:c>
      <x:c r="C88" s="16" t="n">
        <x:v>2</x:v>
      </x:c>
      <x:c r="D88" s="16" t="str">
        <x:f>IF(B88=C88,"PASS","BLOCKER")</x:f>
        <x:v>PASS</x:v>
      </x:c>
      <x:c r="E88" s="16" t="str"/>
    </x:row>
    <x:row r="89" ht="28" customHeight="1">
      <x:c r="A89" s="16" t="str">
        <x:v>Government &amp; public information × Education &amp; learning</x:v>
      </x:c>
      <x:c r="B89" s="16" t="n">
        <x:v>2</x:v>
      </x:c>
      <x:c r="C89" s="16" t="n">
        <x:v>2</x:v>
      </x:c>
      <x:c r="D89" s="16" t="str">
        <x:f>IF(B89=C89,"PASS","BLOCKER")</x:f>
        <x:v>PASS</x:v>
      </x:c>
      <x:c r="E89" s="16" t="str"/>
    </x:row>
    <x:row r="90" ht="28" customHeight="1">
      <x:c r="A90" s="16" t="str">
        <x:v>Government &amp; public information × Money &amp; the economy</x:v>
      </x:c>
      <x:c r="B90" s="16" t="n">
        <x:v>2</x:v>
      </x:c>
      <x:c r="C90" s="16" t="n">
        <x:v>2</x:v>
      </x:c>
      <x:c r="D90" s="16" t="str">
        <x:f>IF(B90=C90,"PASS","BLOCKER")</x:f>
        <x:v>PASS</x:v>
      </x:c>
      <x:c r="E90" s="16" t="str"/>
    </x:row>
    <x:row r="91" ht="28" customHeight="1">
      <x:c r="A91" s="16" t="str">
        <x:v>Proposals &amp; tenders × Technology &amp; digital life</x:v>
      </x:c>
      <x:c r="B91" s="16" t="n">
        <x:v>2</x:v>
      </x:c>
      <x:c r="C91" s="16" t="n">
        <x:v>2</x:v>
      </x:c>
      <x:c r="D91" s="16" t="str">
        <x:f>IF(B91=C91,"PASS","BLOCKER")</x:f>
        <x:v>PASS</x:v>
      </x:c>
      <x:c r="E91" s="16" t="str"/>
    </x:row>
    <x:row r="92" ht="28" customHeight="1">
      <x:c r="A92" s="16" t="str">
        <x:v>Legal &amp; contracts × Health &amp; wellbeing</x:v>
      </x:c>
      <x:c r="B92" s="16" t="n">
        <x:v>2</x:v>
      </x:c>
      <x:c r="C92" s="16" t="n">
        <x:v>2</x:v>
      </x:c>
      <x:c r="D92" s="16" t="str">
        <x:f>IF(B92=C92,"PASS","BLOCKER")</x:f>
        <x:v>PASS</x:v>
      </x:c>
      <x:c r="E92" s="16" t="str"/>
    </x:row>
    <x:row r="93" ht="28" customHeight="1">
      <x:c r="A93" s="16" t="str">
        <x:v>Legal &amp; contracts × Family, community &amp; relationships</x:v>
      </x:c>
      <x:c r="B93" s="16" t="n">
        <x:v>2</x:v>
      </x:c>
      <x:c r="C93" s="16" t="n">
        <x:v>2</x:v>
      </x:c>
      <x:c r="D93" s="16" t="str">
        <x:f>IF(B93=C93,"PASS","BLOCKER")</x:f>
        <x:v>PASS</x:v>
      </x:c>
      <x:c r="E93" s="16" t="str"/>
    </x:row>
    <x:row r="94" ht="28" customHeight="1">
      <x:c r="A94" s="16" t="str">
        <x:v>Personal writing × Work &amp; organisations</x:v>
      </x:c>
      <x:c r="B94" s="16" t="n">
        <x:v>2</x:v>
      </x:c>
      <x:c r="C94" s="16" t="n">
        <x:v>2</x:v>
      </x:c>
      <x:c r="D94" s="16" t="str">
        <x:f>IF(B94=C94,"PASS","BLOCKER")</x:f>
        <x:v>PASS</x:v>
      </x:c>
      <x:c r="E94" s="16" t="str"/>
    </x:row>
    <x:row r="95" ht="28" customHeight="1">
      <x:c r="A95" s="16" t="str">
        <x:v>Personal writing × Family, community &amp; relationships</x:v>
      </x:c>
      <x:c r="B95" s="16" t="n">
        <x:v>2</x:v>
      </x:c>
      <x:c r="C95" s="16" t="n">
        <x:v>2</x:v>
      </x:c>
      <x:c r="D95" s="16" t="str">
        <x:f>IF(B95=C95,"PASS","BLOCKER")</x:f>
        <x:v>PASS</x:v>
      </x:c>
      <x:c r="E95" s="16" t="str"/>
    </x:row>
    <x:row r="96" ht="28" customHeight="1">
      <x:c r="A96" s="16" t="str">
        <x:v>News × Culture, leisure &amp; everyday life</x:v>
      </x:c>
      <x:c r="B96" s="16" t="n">
        <x:v>2</x:v>
      </x:c>
      <x:c r="C96" s="16" t="n">
        <x:v>2</x:v>
      </x:c>
      <x:c r="D96" s="16" t="str">
        <x:f>IF(B96=C96,"PASS","BLOCKER")</x:f>
        <x:v>PASS</x:v>
      </x:c>
      <x:c r="E96" s="16" t="str"/>
    </x:row>
    <x:row r="97" ht="28" customHeight="1">
      <x:c r="A97" s="16" t="str">
        <x:v>Business communication × Public services &amp; civic life</x:v>
      </x:c>
      <x:c r="B97" s="16" t="n">
        <x:v>2</x:v>
      </x:c>
      <x:c r="C97" s="16" t="n">
        <x:v>2</x:v>
      </x:c>
      <x:c r="D97" s="16" t="str">
        <x:f>IF(B97=C97,"PASS","BLOCKER")</x:f>
        <x:v>PASS</x:v>
      </x:c>
      <x:c r="E97" s="16" t="str"/>
    </x:row>
    <x:row r="98" ht="28" customHeight="1">
      <x:c r="A98" s="16" t="str">
        <x:v>Proposals &amp; tenders × Health &amp; wellbeing</x:v>
      </x:c>
      <x:c r="B98" s="16" t="n">
        <x:v>2</x:v>
      </x:c>
      <x:c r="C98" s="16" t="n">
        <x:v>2</x:v>
      </x:c>
      <x:c r="D98" s="16" t="str">
        <x:f>IF(B98=C98,"PASS","BLOCKER")</x:f>
        <x:v>PASS</x:v>
      </x:c>
      <x:c r="E98" s="16" t="str"/>
    </x:row>
    <x:row r="99" ht="28" customHeight="1">
      <x:c r="A99" s="16" t="str">
        <x:v>Legal &amp; contracts × Public services &amp; civic life</x:v>
      </x:c>
      <x:c r="B99" s="16" t="n">
        <x:v>2</x:v>
      </x:c>
      <x:c r="C99" s="16" t="n">
        <x:v>2</x:v>
      </x:c>
      <x:c r="D99" s="16" t="str">
        <x:f>IF(B99=C99,"PASS","BLOCKER")</x:f>
        <x:v>PASS</x:v>
      </x:c>
      <x:c r="E99" s="16" t="str"/>
    </x:row>
    <x:row r="100" ht="28" customHeight="1">
      <x:c r="A100" s="16" t="str">
        <x:v>Articles × Education &amp; learning</x:v>
      </x:c>
      <x:c r="B100" s="16" t="n">
        <x:v>2</x:v>
      </x:c>
      <x:c r="C100" s="16" t="n">
        <x:v>2</x:v>
      </x:c>
      <x:c r="D100" s="16" t="str">
        <x:f>IF(B100=C100,"PASS","BLOCKER")</x:f>
        <x:v>PASS</x:v>
      </x:c>
      <x:c r="E100" s="16" t="str"/>
    </x:row>
    <x:row r="101" ht="28" customHeight="1">
      <x:c r="A101" s="16" t="str">
        <x:v>Articles × Family, community &amp; relationships</x:v>
      </x:c>
      <x:c r="B101" s="16" t="n">
        <x:v>2</x:v>
      </x:c>
      <x:c r="C101" s="16" t="n">
        <x:v>2</x:v>
      </x:c>
      <x:c r="D101" s="16" t="str">
        <x:f>IF(B101=C101,"PASS","BLOCKER")</x:f>
        <x:v>PASS</x:v>
      </x:c>
      <x:c r="E101" s="16" t="str"/>
    </x:row>
    <x:row r="102" ht="28" customHeight="1">
      <x:c r="A102" s="16" t="str">
        <x:v>News × Work &amp; organisations</x:v>
      </x:c>
      <x:c r="B102" s="16" t="n">
        <x:v>2</x:v>
      </x:c>
      <x:c r="C102" s="16" t="n">
        <x:v>2</x:v>
      </x:c>
      <x:c r="D102" s="16" t="str">
        <x:f>IF(B102=C102,"PASS","BLOCKER")</x:f>
        <x:v>PASS</x:v>
      </x:c>
      <x:c r="E102" s="16" t="str"/>
    </x:row>
    <x:row r="103" ht="28" customHeight="1">
      <x:c r="A103" s="16" t="str">
        <x:v>Business communication × Health &amp; wellbeing</x:v>
      </x:c>
      <x:c r="B103" s="16" t="n">
        <x:v>2</x:v>
      </x:c>
      <x:c r="C103" s="16" t="n">
        <x:v>2</x:v>
      </x:c>
      <x:c r="D103" s="16" t="str">
        <x:f>IF(B103=C103,"PASS","BLOCKER")</x:f>
        <x:v>PASS</x:v>
      </x:c>
      <x:c r="E103" s="16" t="str"/>
    </x:row>
    <x:row r="104" ht="28" customHeight="1">
      <x:c r="A104" s="16" t="str">
        <x:v>Government &amp; public information × Work &amp; organisations</x:v>
      </x:c>
      <x:c r="B104" s="16" t="n">
        <x:v>2</x:v>
      </x:c>
      <x:c r="C104" s="16" t="n">
        <x:v>2</x:v>
      </x:c>
      <x:c r="D104" s="16" t="str">
        <x:f>IF(B104=C104,"PASS","BLOCKER")</x:f>
        <x:v>PASS</x:v>
      </x:c>
      <x:c r="E104" s="16" t="str"/>
    </x:row>
    <x:row r="105" ht="28" customHeight="1">
      <x:c r="A105" s="16" t="str">
        <x:v>Government &amp; public information × Family, community &amp; relationships</x:v>
      </x:c>
      <x:c r="B105" s="16" t="n">
        <x:v>2</x:v>
      </x:c>
      <x:c r="C105" s="16" t="n">
        <x:v>2</x:v>
      </x:c>
      <x:c r="D105" s="16" t="str">
        <x:f>IF(B105=C105,"PASS","BLOCKER")</x:f>
        <x:v>PASS</x:v>
      </x:c>
      <x:c r="E105" s="16" t="str"/>
    </x:row>
    <x:row r="106" ht="28" customHeight="1">
      <x:c r="A106" s="16" t="str">
        <x:v>Legal &amp; contracts × Environment &amp; sustainability</x:v>
      </x:c>
      <x:c r="B106" s="16" t="n">
        <x:v>2</x:v>
      </x:c>
      <x:c r="C106" s="16" t="n">
        <x:v>2</x:v>
      </x:c>
      <x:c r="D106" s="16" t="str">
        <x:f>IF(B106=C106,"PASS","BLOCKER")</x:f>
        <x:v>PASS</x:v>
      </x:c>
      <x:c r="E106" s="16" t="str"/>
    </x:row>
    <x:row r="107" ht="28" customHeight="1">
      <x:c r="A107" s="16" t="str">
        <x:v>Articles × Culture, leisure &amp; everyday life</x:v>
      </x:c>
      <x:c r="B107" s="16" t="n">
        <x:v>2</x:v>
      </x:c>
      <x:c r="C107" s="16" t="n">
        <x:v>2</x:v>
      </x:c>
      <x:c r="D107" s="16" t="str">
        <x:f>IF(B107=C107,"PASS","BLOCKER")</x:f>
        <x:v>PASS</x:v>
      </x:c>
      <x:c r="E107" s="16" t="str"/>
    </x:row>
    <x:row r="108" ht="28" customHeight="1">
      <x:c r="A108" s="16" t="str">
        <x:v>Business communication × Technology &amp; digital life</x:v>
      </x:c>
      <x:c r="B108" s="16" t="n">
        <x:v>2</x:v>
      </x:c>
      <x:c r="C108" s="16" t="n">
        <x:v>2</x:v>
      </x:c>
      <x:c r="D108" s="16" t="str">
        <x:f>IF(B108=C108,"PASS","BLOCKER")</x:f>
        <x:v>PASS</x:v>
      </x:c>
      <x:c r="E108" s="16" t="str"/>
    </x:row>
    <x:row r="109" ht="28" customHeight="1">
      <x:c r="A109" s="16" t="str">
        <x:v>Proposals &amp; tenders × Money &amp; the economy</x:v>
      </x:c>
      <x:c r="B109" s="16" t="n">
        <x:v>2</x:v>
      </x:c>
      <x:c r="C109" s="16" t="n">
        <x:v>2</x:v>
      </x:c>
      <x:c r="D109" s="16" t="str">
        <x:f>IF(B109=C109,"PASS","BLOCKER")</x:f>
        <x:v>PASS</x:v>
      </x:c>
      <x:c r="E109" s="16" t="str"/>
    </x:row>
    <x:row r="110" ht="28" customHeight="1">
      <x:c r="A110" s="16" t="str">
        <x:v>Personal writing × Transport, housing &amp; places</x:v>
      </x:c>
      <x:c r="B110" s="16" t="n">
        <x:v>2</x:v>
      </x:c>
      <x:c r="C110" s="16" t="n">
        <x:v>2</x:v>
      </x:c>
      <x:c r="D110" s="16" t="str">
        <x:f>IF(B110=C110,"PASS","BLOCKER")</x:f>
        <x:v>PASS</x:v>
      </x:c>
      <x:c r="E110" s="16" t="str"/>
    </x:row>
    <x:row r="112" ht="27" customHeight="1">
      <x:c r="A112" s="18" t="str">
        <x:v>Structural directions — 35 cells × 4</x:v>
      </x:c>
      <x:c r="B112" s="18"/>
      <x:c r="C112" s="18"/>
      <x:c r="D112" s="18"/>
      <x:c r="E112" s="18"/>
    </x:row>
    <x:row r="113" ht="32" customHeight="1">
      <x:c r="A113" s="13" t="str">
        <x:v>Item</x:v>
      </x:c>
      <x:c r="B113" s="13" t="str">
        <x:v>Expected</x:v>
      </x:c>
      <x:c r="C113" s="13" t="str">
        <x:v>Actual</x:v>
      </x:c>
      <x:c r="D113" s="13" t="str">
        <x:v>Status</x:v>
      </x:c>
      <x:c r="E113" s="13" t="str">
        <x:v>Notes</x:v>
      </x:c>
    </x:row>
    <x:row r="114" ht="28" customHeight="1">
      <x:c r="A114" s="16" t="str">
        <x:v>Articles × Explainer</x:v>
      </x:c>
      <x:c r="B114" s="16" t="n">
        <x:v>4</x:v>
      </x:c>
      <x:c r="C114" s="16" t="n">
        <x:v>4</x:v>
      </x:c>
      <x:c r="D114" s="16" t="str">
        <x:f>IF(B114=C114,"PASS","BLOCKER")</x:f>
        <x:v>PASS</x:v>
      </x:c>
      <x:c r="E114" s="16" t="str"/>
    </x:row>
    <x:row r="115" ht="28" customHeight="1">
      <x:c r="A115" s="16" t="str">
        <x:v>Articles × Analysis</x:v>
      </x:c>
      <x:c r="B115" s="16" t="n">
        <x:v>4</x:v>
      </x:c>
      <x:c r="C115" s="16" t="n">
        <x:v>4</x:v>
      </x:c>
      <x:c r="D115" s="16" t="str">
        <x:f>IF(B115=C115,"PASS","BLOCKER")</x:f>
        <x:v>PASS</x:v>
      </x:c>
      <x:c r="E115" s="16" t="str"/>
    </x:row>
    <x:row r="116" ht="28" customHeight="1">
      <x:c r="A116" s="16" t="str">
        <x:v>Personal writing × Reflective essay</x:v>
      </x:c>
      <x:c r="B116" s="16" t="n">
        <x:v>4</x:v>
      </x:c>
      <x:c r="C116" s="16" t="n">
        <x:v>4</x:v>
      </x:c>
      <x:c r="D116" s="16" t="str">
        <x:f>IF(B116=C116,"PASS","BLOCKER")</x:f>
        <x:v>PASS</x:v>
      </x:c>
      <x:c r="E116" s="16" t="str"/>
    </x:row>
    <x:row r="117" ht="28" customHeight="1">
      <x:c r="A117" s="16" t="str">
        <x:v>Personal writing × Personal correspondence</x:v>
      </x:c>
      <x:c r="B117" s="16" t="n">
        <x:v>4</x:v>
      </x:c>
      <x:c r="C117" s="16" t="n">
        <x:v>4</x:v>
      </x:c>
      <x:c r="D117" s="16" t="str">
        <x:f>IF(B117=C117,"PASS","BLOCKER")</x:f>
        <x:v>PASS</x:v>
      </x:c>
      <x:c r="E117" s="16" t="str"/>
    </x:row>
    <x:row r="118" ht="28" customHeight="1">
      <x:c r="A118" s="16" t="str">
        <x:v>News × Public-service report</x:v>
      </x:c>
      <x:c r="B118" s="16" t="n">
        <x:v>4</x:v>
      </x:c>
      <x:c r="C118" s="16" t="n">
        <x:v>4</x:v>
      </x:c>
      <x:c r="D118" s="16" t="str">
        <x:f>IF(B118=C118,"PASS","BLOCKER")</x:f>
        <x:v>PASS</x:v>
      </x:c>
      <x:c r="E118" s="16" t="str"/>
    </x:row>
    <x:row r="119" ht="28" customHeight="1">
      <x:c r="A119" s="16" t="str">
        <x:v>Business communication × Decision request</x:v>
      </x:c>
      <x:c r="B119" s="16" t="n">
        <x:v>4</x:v>
      </x:c>
      <x:c r="C119" s="16" t="n">
        <x:v>4</x:v>
      </x:c>
      <x:c r="D119" s="16" t="str">
        <x:f>IF(B119=C119,"PASS","BLOCKER")</x:f>
        <x:v>PASS</x:v>
      </x:c>
      <x:c r="E119" s="16" t="str"/>
    </x:row>
    <x:row r="120" ht="28" customHeight="1">
      <x:c r="A120" s="16" t="str">
        <x:v>Business communication × Risk escalation</x:v>
      </x:c>
      <x:c r="B120" s="16" t="n">
        <x:v>4</x:v>
      </x:c>
      <x:c r="C120" s="16" t="n">
        <x:v>4</x:v>
      </x:c>
      <x:c r="D120" s="16" t="str">
        <x:f>IF(B120=C120,"PASS","BLOCKER")</x:f>
        <x:v>PASS</x:v>
      </x:c>
      <x:c r="E120" s="16" t="str"/>
    </x:row>
    <x:row r="121" ht="28" customHeight="1">
      <x:c r="A121" s="16" t="str">
        <x:v>Government &amp; public information × Policy brief</x:v>
      </x:c>
      <x:c r="B121" s="16" t="n">
        <x:v>4</x:v>
      </x:c>
      <x:c r="C121" s="16" t="n">
        <x:v>4</x:v>
      </x:c>
      <x:c r="D121" s="16" t="str">
        <x:f>IF(B121=C121,"PASS","BLOCKER")</x:f>
        <x:v>PASS</x:v>
      </x:c>
      <x:c r="E121" s="16" t="str"/>
    </x:row>
    <x:row r="122" ht="28" customHeight="1">
      <x:c r="A122" s="16" t="str">
        <x:v>Government &amp; public information × Consultation summary</x:v>
      </x:c>
      <x:c r="B122" s="16" t="n">
        <x:v>4</x:v>
      </x:c>
      <x:c r="C122" s="16" t="n">
        <x:v>4</x:v>
      </x:c>
      <x:c r="D122" s="16" t="str">
        <x:f>IF(B122=C122,"PASS","BLOCKER")</x:f>
        <x:v>PASS</x:v>
      </x:c>
      <x:c r="E122" s="16" t="str"/>
    </x:row>
    <x:row r="123" ht="28" customHeight="1">
      <x:c r="A123" s="16" t="str">
        <x:v>Proposals &amp; tenders × Delivery methodology</x:v>
      </x:c>
      <x:c r="B123" s="16" t="n">
        <x:v>4</x:v>
      </x:c>
      <x:c r="C123" s="16" t="n">
        <x:v>4</x:v>
      </x:c>
      <x:c r="D123" s="16" t="str">
        <x:f>IF(B123=C123,"PASS","BLOCKER")</x:f>
        <x:v>PASS</x:v>
      </x:c>
      <x:c r="E123" s="16" t="str"/>
    </x:row>
    <x:row r="124" ht="28" customHeight="1">
      <x:c r="A124" s="16" t="str">
        <x:v>Proposals &amp; tenders × Executive summary</x:v>
      </x:c>
      <x:c r="B124" s="16" t="n">
        <x:v>4</x:v>
      </x:c>
      <x:c r="C124" s="16" t="n">
        <x:v>4</x:v>
      </x:c>
      <x:c r="D124" s="16" t="str">
        <x:f>IF(B124=C124,"PASS","BLOCKER")</x:f>
        <x:v>PASS</x:v>
      </x:c>
      <x:c r="E124" s="16" t="str"/>
    </x:row>
    <x:row r="125" ht="28" customHeight="1">
      <x:c r="A125" s="16" t="str">
        <x:v>Legal &amp; contracts × Responsibilities schedule</x:v>
      </x:c>
      <x:c r="B125" s="16" t="n">
        <x:v>4</x:v>
      </x:c>
      <x:c r="C125" s="16" t="n">
        <x:v>4</x:v>
      </x:c>
      <x:c r="D125" s="16" t="str">
        <x:f>IF(B125=C125,"PASS","BLOCKER")</x:f>
        <x:v>PASS</x:v>
      </x:c>
      <x:c r="E125" s="16" t="str"/>
    </x:row>
    <x:row r="126" ht="28" customHeight="1">
      <x:c r="A126" s="16" t="str">
        <x:v>Legal &amp; contracts × Procedural clause</x:v>
      </x:c>
      <x:c r="B126" s="16" t="n">
        <x:v>4</x:v>
      </x:c>
      <x:c r="C126" s="16" t="n">
        <x:v>4</x:v>
      </x:c>
      <x:c r="D126" s="16" t="str">
        <x:f>IF(B126=C126,"PASS","BLOCKER")</x:f>
        <x:v>PASS</x:v>
      </x:c>
      <x:c r="E126" s="16" t="str"/>
    </x:row>
    <x:row r="127" ht="28" customHeight="1">
      <x:c r="A127" s="16" t="str">
        <x:v>Articles × Feature</x:v>
      </x:c>
      <x:c r="B127" s="16" t="n">
        <x:v>4</x:v>
      </x:c>
      <x:c r="C127" s="16" t="n">
        <x:v>4</x:v>
      </x:c>
      <x:c r="D127" s="16" t="str">
        <x:f>IF(B127=C127,"PASS","BLOCKER")</x:f>
        <x:v>PASS</x:v>
      </x:c>
      <x:c r="E127" s="16" t="str"/>
    </x:row>
    <x:row r="128" ht="28" customHeight="1">
      <x:c r="A128" s="16" t="str">
        <x:v>Personal writing × Place or travel vignette</x:v>
      </x:c>
      <x:c r="B128" s="16" t="n">
        <x:v>4</x:v>
      </x:c>
      <x:c r="C128" s="16" t="n">
        <x:v>4</x:v>
      </x:c>
      <x:c r="D128" s="16" t="str">
        <x:f>IF(B128=C128,"PASS","BLOCKER")</x:f>
        <x:v>PASS</x:v>
      </x:c>
      <x:c r="E128" s="16" t="str"/>
    </x:row>
    <x:row r="129" ht="28" customHeight="1">
      <x:c r="A129" s="16" t="str">
        <x:v>Personal writing × Observational sketch</x:v>
      </x:c>
      <x:c r="B129" s="16" t="n">
        <x:v>4</x:v>
      </x:c>
      <x:c r="C129" s="16" t="n">
        <x:v>4</x:v>
      </x:c>
      <x:c r="D129" s="16" t="str">
        <x:f>IF(B129=C129,"PASS","BLOCKER")</x:f>
        <x:v>PASS</x:v>
      </x:c>
      <x:c r="E129" s="16" t="str"/>
    </x:row>
    <x:row r="130" ht="28" customHeight="1">
      <x:c r="A130" s="16" t="str">
        <x:v>News × Straight report</x:v>
      </x:c>
      <x:c r="B130" s="16" t="n">
        <x:v>4</x:v>
      </x:c>
      <x:c r="C130" s="16" t="n">
        <x:v>4</x:v>
      </x:c>
      <x:c r="D130" s="16" t="str">
        <x:f>IF(B130=C130,"PASS","BLOCKER")</x:f>
        <x:v>PASS</x:v>
      </x:c>
      <x:c r="E130" s="16" t="str"/>
    </x:row>
    <x:row r="131" ht="28" customHeight="1">
      <x:c r="A131" s="16" t="str">
        <x:v>Business communication × Handover note</x:v>
      </x:c>
      <x:c r="B131" s="16" t="n">
        <x:v>4</x:v>
      </x:c>
      <x:c r="C131" s="16" t="n">
        <x:v>4</x:v>
      </x:c>
      <x:c r="D131" s="16" t="str">
        <x:f>IF(B131=C131,"PASS","BLOCKER")</x:f>
        <x:v>PASS</x:v>
      </x:c>
      <x:c r="E131" s="16" t="str"/>
    </x:row>
    <x:row r="132" ht="28" customHeight="1">
      <x:c r="A132" s="16" t="str">
        <x:v>Government &amp; public information × Public notice</x:v>
      </x:c>
      <x:c r="B132" s="16" t="n">
        <x:v>4</x:v>
      </x:c>
      <x:c r="C132" s="16" t="n">
        <x:v>4</x:v>
      </x:c>
      <x:c r="D132" s="16" t="str">
        <x:f>IF(B132=C132,"PASS","BLOCKER")</x:f>
        <x:v>PASS</x:v>
      </x:c>
      <x:c r="E132" s="16" t="str"/>
    </x:row>
    <x:row r="133" ht="28" customHeight="1">
      <x:c r="A133" s="16" t="str">
        <x:v>Legal &amp; contracts × Core clause</x:v>
      </x:c>
      <x:c r="B133" s="16" t="n">
        <x:v>4</x:v>
      </x:c>
      <x:c r="C133" s="16" t="n">
        <x:v>4</x:v>
      </x:c>
      <x:c r="D133" s="16" t="str">
        <x:f>IF(B133=C133,"PASS","BLOCKER")</x:f>
        <x:v>PASS</x:v>
      </x:c>
      <x:c r="E133" s="16" t="str"/>
    </x:row>
    <x:row r="134" ht="28" customHeight="1">
      <x:c r="A134" s="16" t="str">
        <x:v>Legal &amp; contracts × Formal notice</x:v>
      </x:c>
      <x:c r="B134" s="16" t="n">
        <x:v>4</x:v>
      </x:c>
      <x:c r="C134" s="16" t="n">
        <x:v>4</x:v>
      </x:c>
      <x:c r="D134" s="16" t="str">
        <x:f>IF(B134=C134,"PASS","BLOCKER")</x:f>
        <x:v>PASS</x:v>
      </x:c>
      <x:c r="E134" s="16" t="str"/>
    </x:row>
    <x:row r="135" ht="28" customHeight="1">
      <x:c r="A135" s="16" t="str">
        <x:v>Personal writing × Personal narrative</x:v>
      </x:c>
      <x:c r="B135" s="16" t="n">
        <x:v>4</x:v>
      </x:c>
      <x:c r="C135" s="16" t="n">
        <x:v>4</x:v>
      </x:c>
      <x:c r="D135" s="16" t="str">
        <x:f>IF(B135=C135,"PASS","BLOCKER")</x:f>
        <x:v>PASS</x:v>
      </x:c>
      <x:c r="E135" s="16" t="str"/>
    </x:row>
    <x:row r="136" ht="28" customHeight="1">
      <x:c r="A136" s="16" t="str">
        <x:v>News × Data-led report</x:v>
      </x:c>
      <x:c r="B136" s="16" t="n">
        <x:v>4</x:v>
      </x:c>
      <x:c r="C136" s="16" t="n">
        <x:v>4</x:v>
      </x:c>
      <x:c r="D136" s="16" t="str">
        <x:f>IF(B136=C136,"PASS","BLOCKER")</x:f>
        <x:v>PASS</x:v>
      </x:c>
      <x:c r="E136" s="16" t="str"/>
    </x:row>
    <x:row r="137" ht="28" customHeight="1">
      <x:c r="A137" s="16" t="str">
        <x:v>News × Follow-up report</x:v>
      </x:c>
      <x:c r="B137" s="16" t="n">
        <x:v>4</x:v>
      </x:c>
      <x:c r="C137" s="16" t="n">
        <x:v>4</x:v>
      </x:c>
      <x:c r="D137" s="16" t="str">
        <x:f>IF(B137=C137,"PASS","BLOCKER")</x:f>
        <x:v>PASS</x:v>
      </x:c>
      <x:c r="E137" s="16" t="str"/>
    </x:row>
    <x:row r="138" ht="28" customHeight="1">
      <x:c r="A138" s="16" t="str">
        <x:v>Business communication × Progress update</x:v>
      </x:c>
      <x:c r="B138" s="16" t="n">
        <x:v>4</x:v>
      </x:c>
      <x:c r="C138" s="16" t="n">
        <x:v>4</x:v>
      </x:c>
      <x:c r="D138" s="16" t="str">
        <x:f>IF(B138=C138,"PASS","BLOCKER")</x:f>
        <x:v>PASS</x:v>
      </x:c>
      <x:c r="E138" s="16" t="str"/>
    </x:row>
    <x:row r="139" ht="28" customHeight="1">
      <x:c r="A139" s="16" t="str">
        <x:v>Business communication × Customer or stakeholder response</x:v>
      </x:c>
      <x:c r="B139" s="16" t="n">
        <x:v>4</x:v>
      </x:c>
      <x:c r="C139" s="16" t="n">
        <x:v>4</x:v>
      </x:c>
      <x:c r="D139" s="16" t="str">
        <x:f>IF(B139=C139,"PASS","BLOCKER")</x:f>
        <x:v>PASS</x:v>
      </x:c>
      <x:c r="E139" s="16" t="str"/>
    </x:row>
    <x:row r="140" ht="28" customHeight="1">
      <x:c r="A140" s="16" t="str">
        <x:v>Government &amp; public information × Service guidance</x:v>
      </x:c>
      <x:c r="B140" s="16" t="n">
        <x:v>4</x:v>
      </x:c>
      <x:c r="C140" s="16" t="n">
        <x:v>4</x:v>
      </x:c>
      <x:c r="D140" s="16" t="str">
        <x:f>IF(B140=C140,"PASS","BLOCKER")</x:f>
        <x:v>PASS</x:v>
      </x:c>
      <x:c r="E140" s="16" t="str"/>
    </x:row>
    <x:row r="141" ht="28" customHeight="1">
      <x:c r="A141" s="16" t="str">
        <x:v>Government &amp; public information × Formal report summary</x:v>
      </x:c>
      <x:c r="B141" s="16" t="n">
        <x:v>4</x:v>
      </x:c>
      <x:c r="C141" s="16" t="n">
        <x:v>4</x:v>
      </x:c>
      <x:c r="D141" s="16" t="str">
        <x:f>IF(B141=C141,"PASS","BLOCKER")</x:f>
        <x:v>PASS</x:v>
      </x:c>
      <x:c r="E141" s="16" t="str"/>
    </x:row>
    <x:row r="142" ht="28" customHeight="1">
      <x:c r="A142" s="16" t="str">
        <x:v>Proposals &amp; tenders × Implementation plan</x:v>
      </x:c>
      <x:c r="B142" s="16" t="n">
        <x:v>4</x:v>
      </x:c>
      <x:c r="C142" s="16" t="n">
        <x:v>4</x:v>
      </x:c>
      <x:c r="D142" s="16" t="str">
        <x:f>IF(B142=C142,"PASS","BLOCKER")</x:f>
        <x:v>PASS</x:v>
      </x:c>
      <x:c r="E142" s="16" t="str"/>
    </x:row>
    <x:row r="143" ht="28" customHeight="1">
      <x:c r="A143" s="16" t="str">
        <x:v>Proposals &amp; tenders × Risk and quality plan</x:v>
      </x:c>
      <x:c r="B143" s="16" t="n">
        <x:v>4</x:v>
      </x:c>
      <x:c r="C143" s="16" t="n">
        <x:v>4</x:v>
      </x:c>
      <x:c r="D143" s="16" t="str">
        <x:f>IF(B143=C143,"PASS","BLOCKER")</x:f>
        <x:v>PASS</x:v>
      </x:c>
      <x:c r="E143" s="16" t="str"/>
    </x:row>
    <x:row r="144" ht="28" customHeight="1">
      <x:c r="A144" s="16" t="str">
        <x:v>Articles × Practical guide</x:v>
      </x:c>
      <x:c r="B144" s="16" t="n">
        <x:v>4</x:v>
      </x:c>
      <x:c r="C144" s="16" t="n">
        <x:v>4</x:v>
      </x:c>
      <x:c r="D144" s="16" t="str">
        <x:f>IF(B144=C144,"PASS","BLOCKER")</x:f>
        <x:v>PASS</x:v>
      </x:c>
      <x:c r="E144" s="16" t="str"/>
    </x:row>
    <x:row r="145" ht="28" customHeight="1">
      <x:c r="A145" s="16" t="str">
        <x:v>News × Interview-led report</x:v>
      </x:c>
      <x:c r="B145" s="16" t="n">
        <x:v>4</x:v>
      </x:c>
      <x:c r="C145" s="16" t="n">
        <x:v>4</x:v>
      </x:c>
      <x:c r="D145" s="16" t="str">
        <x:f>IF(B145=C145,"PASS","BLOCKER")</x:f>
        <x:v>PASS</x:v>
      </x:c>
      <x:c r="E145" s="16" t="str"/>
    </x:row>
    <x:row r="146" ht="28" customHeight="1">
      <x:c r="A146" s="16" t="str">
        <x:v>Proposals &amp; tenders × Requirements response</x:v>
      </x:c>
      <x:c r="B146" s="16" t="n">
        <x:v>4</x:v>
      </x:c>
      <x:c r="C146" s="16" t="n">
        <x:v>4</x:v>
      </x:c>
      <x:c r="D146" s="16" t="str">
        <x:f>IF(B146=C146,"PASS","BLOCKER")</x:f>
        <x:v>PASS</x:v>
      </x:c>
      <x:c r="E146" s="16" t="str"/>
    </x:row>
    <x:row r="147" ht="28" customHeight="1">
      <x:c r="A147" s="16" t="str">
        <x:v>Legal &amp; contracts × Compliance or remedy provision</x:v>
      </x:c>
      <x:c r="B147" s="16" t="n">
        <x:v>4</x:v>
      </x:c>
      <x:c r="C147" s="16" t="n">
        <x:v>4</x:v>
      </x:c>
      <x:c r="D147" s="16" t="str">
        <x:f>IF(B147=C147,"PASS","BLOCKER")</x:f>
        <x:v>PASS</x:v>
      </x:c>
      <x:c r="E147" s="16" t="str"/>
    </x:row>
    <x:row r="148" ht="28" customHeight="1">
      <x:c r="A148" s="16" t="str">
        <x:v>Articles × Opinion &amp; commentary</x:v>
      </x:c>
      <x:c r="B148" s="16" t="n">
        <x:v>4</x:v>
      </x:c>
      <x:c r="C148" s="16" t="n">
        <x:v>4</x:v>
      </x:c>
      <x:c r="D148" s="16" t="str">
        <x:f>IF(B148=C148,"PASS","BLOCKER")</x:f>
        <x:v>PASS</x:v>
      </x:c>
      <x:c r="E148" s="16" t="str"/>
    </x:row>
    <x:row r="151" ht="32" customHeight="1">
      <x:c r="A151" s="13" t="str">
        <x:v>Marked feature</x:v>
      </x:c>
      <x:c r="B151" s="13" t="str">
        <x:v>Briefs requiring</x:v>
      </x:c>
      <x:c r="C151" s="13" t="str">
        <x:v>Actual passages containing</x:v>
      </x:c>
      <x:c r="D151" s="13" t="str">
        <x:v>Status</x:v>
      </x:c>
    </x:row>
    <x:row r="152" ht="32" customHeight="1">
      <x:c r="A152" s="16" t="str">
        <x:v>numeral</x:v>
      </x:c>
      <x:c r="B152" s="16" t="n">
        <x:v>42</x:v>
      </x:c>
      <x:c r="C152" s="16" t="n">
        <x:v>92</x:v>
      </x:c>
      <x:c r="D152" s="16" t="str">
        <x:f>IF(C152&gt;=B152,"PASS","BLOCKER")</x:f>
        <x:v>PASS</x:v>
      </x:c>
    </x:row>
    <x:row r="153" ht="32" customHeight="1">
      <x:c r="A153" s="16" t="str">
        <x:v>measurement</x:v>
      </x:c>
      <x:c r="B153" s="16" t="n">
        <x:v>18</x:v>
      </x:c>
      <x:c r="C153" s="16" t="n">
        <x:v>27</x:v>
      </x:c>
      <x:c r="D153" s="16" t="str">
        <x:f>IF(C153&gt;=B153,"PASS","BLOCKER")</x:f>
        <x:v>PASS</x:v>
      </x:c>
    </x:row>
    <x:row r="154" ht="32" customHeight="1">
      <x:c r="A154" s="16" t="str">
        <x:v>quotation</x:v>
      </x:c>
      <x:c r="B154" s="16" t="n">
        <x:v>24</x:v>
      </x:c>
      <x:c r="C154" s="16" t="n">
        <x:v>67</x:v>
      </x:c>
      <x:c r="D154" s="16" t="str">
        <x:f>IF(C154&gt;=B154,"PASS","BLOCKER")</x:f>
        <x:v>PASS</x:v>
      </x:c>
    </x:row>
    <x:row r="155" ht="32" customHeight="1">
      <x:c r="A155" s="16" t="str">
        <x:v>colon</x:v>
      </x:c>
      <x:c r="B155" s="16" t="n">
        <x:v>35</x:v>
      </x:c>
      <x:c r="C155" s="16" t="n">
        <x:v>95</x:v>
      </x:c>
      <x:c r="D155" s="16" t="str">
        <x:f>IF(C155&gt;=B155,"PASS","BLOCKER")</x:f>
        <x:v>PASS</x:v>
      </x:c>
    </x:row>
    <x:row r="156" ht="32" customHeight="1">
      <x:c r="A156" s="16" t="str">
        <x:v>semicolon</x:v>
      </x:c>
      <x:c r="B156" s="16" t="n">
        <x:v>28</x:v>
      </x:c>
      <x:c r="C156" s="16" t="n">
        <x:v>104</x:v>
      </x:c>
      <x:c r="D156" s="16" t="str">
        <x:f>IF(C156&gt;=B156,"PASS","BLOCKER")</x:f>
        <x:v>PASS</x:v>
      </x:c>
    </x:row>
    <x:row r="157" ht="32" customHeight="1">
      <x:c r="A157" s="16" t="str">
        <x:v>question</x:v>
      </x:c>
      <x:c r="B157" s="16" t="n">
        <x:v>28</x:v>
      </x:c>
      <x:c r="C157" s="16" t="n">
        <x:v>31</x:v>
      </x:c>
      <x:c r="D157" s="16" t="str">
        <x:f>IF(C157&gt;=B157,"PASS","BLOCKER")</x:f>
        <x:v>PASS</x:v>
      </x:c>
    </x:row>
    <x:row r="158" ht="32" customHeight="1">
      <x:c r="A158" s="16" t="str">
        <x:v>parenthesis</x:v>
      </x:c>
      <x:c r="B158" s="16" t="n">
        <x:v>21</x:v>
      </x:c>
      <x:c r="C158" s="16" t="n">
        <x:v>21</x:v>
      </x:c>
      <x:c r="D158" s="16" t="str">
        <x:f>IF(C158&gt;=B158,"PASS","BLOCKER")</x:f>
        <x:v>PASS</x:v>
      </x:c>
    </x:row>
    <x:row r="159" ht="32" customHeight="1">
      <x:c r="A159" s="16" t="str">
        <x:v>exclamation</x:v>
      </x:c>
      <x:c r="B159" s="16" t="n">
        <x:v>4</x:v>
      </x:c>
      <x:c r="C159" s="16" t="n">
        <x:v>4</x:v>
      </x:c>
      <x:c r="D159" s="16" t="str">
        <x:f>IF(C159&gt;=B159,"PASS","BLOCKER")</x:f>
        <x:v>PASS</x:v>
      </x:c>
    </x:row>
    <x:row r="160" ht="32" customHeight="1">
      <x:c r="A160" s="16" t="str">
        <x:v>dateTime</x:v>
      </x:c>
      <x:c r="B160" s="16" t="n">
        <x:v>18</x:v>
      </x:c>
      <x:c r="C160" s="16" t="n">
        <x:v>66</x:v>
      </x:c>
      <x:c r="D160" s="16" t="str">
        <x:f>IF(C160&gt;=B160,"PASS","BLOCKER")</x:f>
        <x:v>PASS</x:v>
      </x:c>
    </x:row>
  </x:sheetData>
  <x:mergeCells>
    <x:mergeCell ref="A1:H1"/>
    <x:mergeCell ref="A2:H2"/>
    <x:mergeCell ref="A4:E4"/>
    <x:mergeCell ref="A14:E14"/>
    <x:mergeCell ref="A27:E27"/>
    <x:mergeCell ref="A33:E33"/>
    <x:mergeCell ref="A39:E39"/>
    <x:mergeCell ref="A112:E112"/>
  </x:mergeCells>
  <x:conditionalFormatting sqref="D5:D150">
    <x:cfRule type="containsText" dxfId="4" priority="1" operator="containsText" text="PASS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22" hidden="0" customWidth="1"/>
    <x:col min="3" max="3" width="76" hidden="0" customWidth="1"/>
    <x:col min="4" max="4" width="80" hidden="0" customWidth="1"/>
    <x:col min="5" max="5" width="60" hidden="0" customWidth="1"/>
  </x:cols>
  <x:sheetData>
    <x:row r="1" ht="36" customHeight="1">
      <x:c r="A1" s="3" t="str">
        <x:v>Genre authenticity and separation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Complete seven-category collections reviewed by function, voice and cross-category atmosphere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Category</x:v>
      </x:c>
      <x:c r="B4" s="13" t="str">
        <x:v>Function / voice</x:v>
      </x:c>
      <x:c r="C4" s="13" t="str">
        <x:v>Separation</x:v>
      </x:c>
      <x:c r="D4" s="13" t="str">
        <x:v>Residual risk</x:v>
      </x:c>
      <x:c r="E4" s="13" t="str">
        <x:v>Release action</x:v>
      </x:c>
    </x:row>
    <x:row r="5" ht="78" customHeight="1">
      <x:c r="A5" s="16" t="str">
        <x:v>Articles</x:v>
      </x:c>
      <x:c r="B5" s="16" t="str">
        <x:v>Explain, interpret or argue for a general reader.</x:v>
      </x:c>
      <x:c r="C5" s="16" t="str">
        <x:v>Strong</x:v>
      </x:c>
      <x:c r="D5" s="16" t="str">
        <x:v>ART-015/016 approach Government subject matter but preserve editorial inquiry.</x:v>
      </x:c>
      <x:c r="E5" s="16" t="str">
        <x:v>Retain; no category changes.</x:v>
      </x:c>
    </x:row>
    <x:row r="6" ht="78" customHeight="1">
      <x:c r="A6" s="16" t="str">
        <x:v>Personal writing</x:v>
      </x:c>
      <x:c r="B6" s="16" t="str">
        <x:v>Private memory, correspondence, place and relationship organise the text.</x:v>
      </x:c>
      <x:c r="C6" s="16" t="str">
        <x:v>Strongest</x:v>
      </x:c>
      <x:c r="D6" s="16" t="str">
        <x:v>Institutional settings remain subordinate to voice and relationship.</x:v>
      </x:c>
      <x:c r="E6" s="16" t="str">
        <x:v>Retain.</x:v>
      </x:c>
    </x:row>
    <x:row r="7" ht="78" customHeight="1">
      <x:c r="A7" s="16" t="str">
        <x:v>News</x:v>
      </x:c>
      <x:c r="B7" s="16" t="str">
        <x:v>Report a verifiable event through attribution, timing and accountability.</x:v>
      </x:c>
      <x:c r="C7" s="16" t="str">
        <x:v>Moderate–strong</x:v>
      </x:c>
      <x:c r="D7" s="16" t="str">
        <x:v>Lexically closest to Government (0.208); source attribution and accountability preserve the distinction.</x:v>
      </x:c>
      <x:c r="E7" s="16" t="str">
        <x:v>PASS — editorial labels removed; independent attribution retained.</x:v>
      </x:c>
    </x:row>
    <x:row r="8" ht="78" customHeight="1">
      <x:c r="A8" s="16" t="str">
        <x:v>Business communication</x:v>
      </x:c>
      <x:c r="B8" s="16" t="str">
        <x:v>A named recipient needs status, decision, handover or response.</x:v>
      </x:c>
      <x:c r="C8" s="16" t="str">
        <x:v>Strong</x:v>
      </x:c>
      <x:c r="D8" s="16" t="str">
        <x:v>Shares evidence/ownership language with Proposals but stays recipient-facing.</x:v>
      </x:c>
      <x:c r="E8" s="16" t="str">
        <x:v>Retain.</x:v>
      </x:c>
    </x:row>
    <x:row r="9" ht="78" customHeight="1">
      <x:c r="A9" s="16" t="str">
        <x:v>Government &amp; public information</x:v>
      </x:c>
      <x:c r="B9" s="16" t="str">
        <x:v>An authority explains policy, guidance, consultation or service effect.</x:v>
      </x:c>
      <x:c r="C9" s="16" t="str">
        <x:v>Moderate–strong</x:v>
      </x:c>
      <x:c r="D9" s="16" t="str">
        <x:v>Closest to Proposals (0.211); official ownership still differentiates it.</x:v>
      </x:c>
      <x:c r="E9" s="16" t="str">
        <x:v>PASS — editorial labels removed; authority voice retained.</x:v>
      </x:c>
    </x:row>
    <x:row r="10" ht="78" customHeight="1">
      <x:c r="A10" s="16" t="str">
        <x:v>Proposals &amp; tenders</x:v>
      </x:c>
      <x:c r="B10" s="16" t="str">
        <x:v>A supplier or project team commits to a deliverable, method and evaluable controls.</x:v>
      </x:c>
      <x:c r="C10" s="16" t="str">
        <x:v>Strong</x:v>
      </x:c>
      <x:c r="D10" s="16" t="str">
        <x:v>PRO-001 now names the repair-route need, working objects, pilot evidence, acceptance criteria and consequence.</x:v>
      </x:c>
      <x:c r="E10" s="16" t="str">
        <x:v>PASS — targeted rewrite restores Proposal identity.</x:v>
      </x:c>
    </x:row>
    <x:row r="11" ht="78" customHeight="1">
      <x:c r="A11" s="16" t="str">
        <x:v>Legal &amp; contracts</x:v>
      </x:c>
      <x:c r="B11" s="16" t="str">
        <x:v>Defined parties, rights, duties, conditions and remedies change legal position.</x:v>
      </x:c>
      <x:c r="C11" s="16" t="str">
        <x:v>Strong</x:v>
      </x:c>
      <x:c r="D11" s="16" t="str">
        <x:v>Conventional cadence is visible but necessary; Government does not allocate remedies in the same way.</x:v>
      </x:c>
      <x:c r="E11" s="16" t="str">
        <x:v>Retain authentic language.</x:v>
      </x:c>
    </x:row>
    <x:row r="14" ht="32" customHeight="1">
      <x:c r="A14" s="13" t="str">
        <x:v>Category pair</x:v>
      </x:c>
      <x:c r="B14" s="13" t="str">
        <x:v>Lexical cosine</x:v>
      </x:c>
      <x:c r="C14" s="13" t="str">
        <x:v>Audit reading</x:v>
      </x:c>
    </x:row>
    <x:row r="15" ht="32" customHeight="1">
      <x:c r="A15" s="16" t="str">
        <x:v>Government &amp; public information ↔ Proposals &amp; tenders</x:v>
      </x:c>
      <x:c r="B15" s="19" t="n">
        <x:v>0.20905039307272655</x:v>
      </x:c>
      <x:c r="C15" s="16" t="str">
        <x:v>Highest atmosphere overlap; structure/function still distinct</x:v>
      </x:c>
    </x:row>
    <x:row r="16" ht="32" customHeight="1">
      <x:c r="A16" s="16" t="str">
        <x:v>News ↔ Government &amp; public information</x:v>
      </x:c>
      <x:c r="B16" s="19" t="n">
        <x:v>0.2003119432544602</x:v>
      </x:c>
      <x:c r="C16" s="16" t="str">
        <x:v>Highest atmosphere overlap; structure/function still distinct</x:v>
      </x:c>
    </x:row>
    <x:row r="17" ht="32" customHeight="1">
      <x:c r="A17" s="16" t="str">
        <x:v>Business communication ↔ Proposals &amp; tenders</x:v>
      </x:c>
      <x:c r="B17" s="19" t="n">
        <x:v>0.19855060861409726</x:v>
      </x:c>
      <x:c r="C17" s="16" t="str">
        <x:v>Highest atmosphere overlap; structure/function still distinct</x:v>
      </x:c>
    </x:row>
    <x:row r="18" ht="32" customHeight="1">
      <x:c r="A18" s="16" t="str">
        <x:v>Articles ↔ Personal writing</x:v>
      </x:c>
      <x:c r="B18" s="19" t="n">
        <x:v>0.19623158204996843</x:v>
      </x:c>
      <x:c r="C18" s="16" t="str">
        <x:v>Highest atmosphere overlap; structure/function still distinct</x:v>
      </x:c>
    </x:row>
    <x:row r="19" ht="32" customHeight="1">
      <x:c r="A19" s="16" t="str">
        <x:v>Business communication ↔ Government &amp; public information</x:v>
      </x:c>
      <x:c r="B19" s="19" t="n">
        <x:v>0.15851117280355712</x:v>
      </x:c>
      <x:c r="C19" s="16" t="str">
        <x:v>No release-level convergence</x:v>
      </x:c>
    </x:row>
    <x:row r="20" ht="32" customHeight="1">
      <x:c r="A20" s="16" t="str">
        <x:v>Articles ↔ Government &amp; public information</x:v>
      </x:c>
      <x:c r="B20" s="19" t="n">
        <x:v>0.15535812899687523</x:v>
      </x:c>
      <x:c r="C20" s="16" t="str">
        <x:v>No release-level convergence</x:v>
      </x:c>
    </x:row>
    <x:row r="21" ht="32" customHeight="1">
      <x:c r="A21" s="16" t="str">
        <x:v>Proposals &amp; tenders ↔ Legal &amp; contracts</x:v>
      </x:c>
      <x:c r="B21" s="19" t="n">
        <x:v>0.15327840710738447</x:v>
      </x:c>
      <x:c r="C21" s="16" t="str">
        <x:v>No release-level convergence</x:v>
      </x:c>
    </x:row>
    <x:row r="22" ht="32" customHeight="1">
      <x:c r="A22" s="16" t="str">
        <x:v>News ↔ Proposals &amp; tenders</x:v>
      </x:c>
      <x:c r="B22" s="19" t="n">
        <x:v>0.1495691457579537</x:v>
      </x:c>
      <x:c r="C22" s="16" t="str">
        <x:v>No release-level convergence</x:v>
      </x:c>
    </x:row>
    <x:row r="23" ht="32" customHeight="1">
      <x:c r="A23" s="16" t="str">
        <x:v>News ↔ Business communication</x:v>
      </x:c>
      <x:c r="B23" s="19" t="n">
        <x:v>0.1435654410211716</x:v>
      </x:c>
      <x:c r="C23" s="16" t="str">
        <x:v>No release-level convergence</x:v>
      </x:c>
    </x:row>
    <x:row r="24" ht="32" customHeight="1">
      <x:c r="A24" s="16" t="str">
        <x:v>Business communication ↔ Legal &amp; contracts</x:v>
      </x:c>
      <x:c r="B24" s="19" t="n">
        <x:v>0.14251510858323438</x:v>
      </x:c>
      <x:c r="C24" s="16" t="str">
        <x:v>No release-level convergence</x:v>
      </x:c>
    </x:row>
    <x:row r="25" ht="32" customHeight="1">
      <x:c r="A25" s="16" t="str">
        <x:v>Articles ↔ Proposals &amp; tenders</x:v>
      </x:c>
      <x:c r="B25" s="19" t="n">
        <x:v>0.13552267195757406</x:v>
      </x:c>
      <x:c r="C25" s="16" t="str">
        <x:v>No release-level convergence</x:v>
      </x:c>
    </x:row>
    <x:row r="26" ht="32" customHeight="1">
      <x:c r="A26" s="16" t="str">
        <x:v>Government &amp; public information ↔ Legal &amp; contracts</x:v>
      </x:c>
      <x:c r="B26" s="19" t="n">
        <x:v>0.12335413079253718</x:v>
      </x:c>
      <x:c r="C26" s="16" t="str">
        <x:v>No release-level convergence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83" hidden="0" customWidth="1"/>
    <x:col min="4" max="4" width="65" hidden="0" customWidth="1"/>
    <x:col min="5" max="5" width="24" hidden="0" customWidth="1"/>
    <x:col min="6" max="6" width="40" hidden="0" customWidth="1"/>
  </x:cols>
  <x:sheetData>
    <x:row r="1" ht="36" customHeight="1">
      <x:c r="A1" s="3" t="str">
        <x:v>Lexical and thematic diversity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Abstract vocabulary is interpreted by genre; second-half experiential breadth is measured separately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Abstract term</x:v>
      </x:c>
      <x:c r="B4" s="13" t="str">
        <x:v>Occurrences</x:v>
      </x:c>
      <x:c r="C4" s="13" t="str">
        <x:v>Passages</x:v>
      </x:c>
      <x:c r="D4" s="13" t="str">
        <x:v>Editorial reading</x:v>
      </x:c>
    </x:row>
    <x:row r="5" ht="34" customHeight="1">
      <x:c r="A5" s="16" t="str">
        <x:v>record</x:v>
      </x:c>
      <x:c r="B5" s="16" t="n">
        <x:v>152</x:v>
      </x:c>
      <x:c r="C5" s="16" t="n">
        <x:v>73</x:v>
      </x:c>
      <x:c r="D5" s="16" t="str">
        <x:v>Authentic in formal genres; avoidable as a corpus-wide default</x:v>
      </x:c>
    </x:row>
    <x:row r="6" ht="34" customHeight="1">
      <x:c r="A6" s="16" t="str">
        <x:v>service</x:v>
      </x:c>
      <x:c r="B6" s="16" t="n">
        <x:v>115</x:v>
      </x:c>
      <x:c r="C6" s="16" t="n">
        <x:v>58</x:v>
      </x:c>
      <x:c r="D6" s="16" t="str">
        <x:v>Authentic in formal genres; avoidable as a corpus-wide default</x:v>
      </x:c>
    </x:row>
    <x:row r="7" ht="34" customHeight="1">
      <x:c r="A7" s="16" t="str">
        <x:v>access</x:v>
      </x:c>
      <x:c r="B7" s="16" t="n">
        <x:v>87</x:v>
      </x:c>
      <x:c r="C7" s="16" t="n">
        <x:v>51</x:v>
      </x:c>
      <x:c r="D7" s="16" t="str">
        <x:v>Authentic in formal genres; avoidable as a corpus-wide default</x:v>
      </x:c>
    </x:row>
    <x:row r="8" ht="34" customHeight="1">
      <x:c r="A8" s="16" t="str">
        <x:v>evidence</x:v>
      </x:c>
      <x:c r="B8" s="16" t="n">
        <x:v>84</x:v>
      </x:c>
      <x:c r="C8" s="16" t="n">
        <x:v>56</x:v>
      </x:c>
      <x:c r="D8" s="16" t="str">
        <x:v>Authentic in formal genres; avoidable as a corpus-wide default</x:v>
      </x:c>
    </x:row>
    <x:row r="9" ht="34" customHeight="1">
      <x:c r="A9" s="16" t="str">
        <x:v>decision</x:v>
      </x:c>
      <x:c r="B9" s="16" t="n">
        <x:v>74</x:v>
      </x:c>
      <x:c r="C9" s="16" t="n">
        <x:v>48</x:v>
      </x:c>
      <x:c r="D9" s="16" t="str">
        <x:v>Authentic in formal genres; avoidable as a corpus-wide default</x:v>
      </x:c>
    </x:row>
    <x:row r="10" ht="34" customHeight="1">
      <x:c r="A10" s="16" t="str">
        <x:v>review</x:v>
      </x:c>
      <x:c r="B10" s="16" t="n">
        <x:v>66</x:v>
      </x:c>
      <x:c r="C10" s="16" t="n">
        <x:v>45</x:v>
      </x:c>
      <x:c r="D10" s="16" t="str">
        <x:v>Authentic in formal genres; avoidable as a corpus-wide default</x:v>
      </x:c>
    </x:row>
    <x:row r="11" ht="34" customHeight="1">
      <x:c r="A11" s="16" t="str">
        <x:v>support</x:v>
      </x:c>
      <x:c r="B11" s="16" t="n">
        <x:v>52</x:v>
      </x:c>
      <x:c r="C11" s="16" t="n">
        <x:v>37</x:v>
      </x:c>
      <x:c r="D11" s="16" t="str">
        <x:v>Context-dependent</x:v>
      </x:c>
    </x:row>
    <x:row r="12" ht="34" customHeight="1">
      <x:c r="A12" s="16" t="str">
        <x:v>system</x:v>
      </x:c>
      <x:c r="B12" s="16" t="n">
        <x:v>37</x:v>
      </x:c>
      <x:c r="C12" s="16" t="n">
        <x:v>24</x:v>
      </x:c>
      <x:c r="D12" s="16" t="str">
        <x:v>Context-dependent</x:v>
      </x:c>
    </x:row>
    <x:row r="13" ht="34" customHeight="1">
      <x:c r="A13" s="16" t="str">
        <x:v>information</x:v>
      </x:c>
      <x:c r="B13" s="16" t="n">
        <x:v>34</x:v>
      </x:c>
      <x:c r="C13" s="16" t="n">
        <x:v>24</x:v>
      </x:c>
      <x:c r="D13" s="16" t="str">
        <x:v>Context-dependent</x:v>
      </x:c>
    </x:row>
    <x:row r="14" ht="34" customHeight="1">
      <x:c r="A14" s="16" t="str">
        <x:v>delivery</x:v>
      </x:c>
      <x:c r="B14" s="16" t="n">
        <x:v>33</x:v>
      </x:c>
      <x:c r="C14" s="16" t="n">
        <x:v>23</x:v>
      </x:c>
      <x:c r="D14" s="16" t="str">
        <x:v>Context-dependent</x:v>
      </x:c>
    </x:row>
    <x:row r="15" ht="34" customHeight="1">
      <x:c r="A15" s="16" t="str">
        <x:v>authority</x:v>
      </x:c>
      <x:c r="B15" s="16" t="n">
        <x:v>33</x:v>
      </x:c>
      <x:c r="C15" s="16" t="n">
        <x:v>17</x:v>
      </x:c>
      <x:c r="D15" s="16" t="str">
        <x:v>Context-dependent</x:v>
      </x:c>
    </x:row>
    <x:row r="16" ht="34" customHeight="1">
      <x:c r="A16" s="16" t="str">
        <x:v>agreement</x:v>
      </x:c>
      <x:c r="B16" s="16" t="n">
        <x:v>31</x:v>
      </x:c>
      <x:c r="C16" s="16" t="n">
        <x:v>19</x:v>
      </x:c>
      <x:c r="D16" s="16" t="str">
        <x:v>Context-dependent</x:v>
      </x:c>
    </x:row>
    <x:row r="17" ht="34" customHeight="1">
      <x:c r="A17" s="16" t="str">
        <x:v>control</x:v>
      </x:c>
      <x:c r="B17" s="16" t="n">
        <x:v>25</x:v>
      </x:c>
      <x:c r="C17" s="16" t="n">
        <x:v>18</x:v>
      </x:c>
      <x:c r="D17" s="16" t="str">
        <x:v>Context-dependent</x:v>
      </x:c>
    </x:row>
    <x:row r="18" ht="34" customHeight="1">
      <x:c r="A18" s="16" t="str">
        <x:v>action</x:v>
      </x:c>
      <x:c r="B18" s="16" t="n">
        <x:v>21</x:v>
      </x:c>
      <x:c r="C18" s="16" t="n">
        <x:v>16</x:v>
      </x:c>
      <x:c r="D18" s="16" t="str">
        <x:v>Context-dependent</x:v>
      </x:c>
    </x:row>
    <x:row r="19" ht="34" customHeight="1">
      <x:c r="A19" s="16" t="str">
        <x:v>process</x:v>
      </x:c>
      <x:c r="B19" s="16" t="n">
        <x:v>20</x:v>
      </x:c>
      <x:c r="C19" s="16" t="n">
        <x:v>16</x:v>
      </x:c>
      <x:c r="D19" s="16" t="str">
        <x:v>Context-dependent</x:v>
      </x:c>
    </x:row>
    <x:row r="20" ht="34" customHeight="1">
      <x:c r="A20" s="16" t="str">
        <x:v>responsibility</x:v>
      </x:c>
      <x:c r="B20" s="16" t="n">
        <x:v>20</x:v>
      </x:c>
      <x:c r="C20" s="16" t="n">
        <x:v>16</x:v>
      </x:c>
      <x:c r="D20" s="16" t="str">
        <x:v>Context-dependent</x:v>
      </x:c>
    </x:row>
    <x:row r="21" ht="34" customHeight="1">
      <x:c r="A21" s="16" t="str">
        <x:v>quality</x:v>
      </x:c>
      <x:c r="B21" s="16" t="n">
        <x:v>14</x:v>
      </x:c>
      <x:c r="C21" s="16" t="n">
        <x:v>10</x:v>
      </x:c>
      <x:c r="D21" s="16" t="str">
        <x:v>Context-dependent</x:v>
      </x:c>
    </x:row>
    <x:row r="22" ht="34" customHeight="1">
      <x:c r="A22" s="16" t="str">
        <x:v>requirement</x:v>
      </x:c>
      <x:c r="B22" s="16" t="n">
        <x:v>14</x:v>
      </x:c>
      <x:c r="C22" s="16" t="n">
        <x:v>11</x:v>
      </x:c>
      <x:c r="D22" s="16" t="str">
        <x:v>Context-dependent</x:v>
      </x:c>
    </x:row>
    <x:row r="23" ht="34" customHeight="1">
      <x:c r="A23" s="16" t="str">
        <x:v>programme</x:v>
      </x:c>
      <x:c r="B23" s="16" t="n">
        <x:v>13</x:v>
      </x:c>
      <x:c r="C23" s="16" t="n">
        <x:v>10</x:v>
      </x:c>
      <x:c r="D23" s="16" t="str">
        <x:v>Context-dependent</x:v>
      </x:c>
    </x:row>
    <x:row r="24" ht="34" customHeight="1">
      <x:c r="A24" s="16" t="str">
        <x:v>risk</x:v>
      </x:c>
      <x:c r="B24" s="16" t="n">
        <x:v>12</x:v>
      </x:c>
      <x:c r="C24" s="16" t="n">
        <x:v>11</x:v>
      </x:c>
      <x:c r="D24" s="16" t="str">
        <x:v>Context-dependent</x:v>
      </x:c>
    </x:row>
    <x:row r="27" ht="32" customHeight="1">
      <x:c r="A27" s="13" t="str">
        <x:v>Experiential field</x:v>
      </x:c>
      <x:c r="B27" s="13" t="str">
        <x:v>Batches 1–5 hits</x:v>
      </x:c>
      <x:c r="C27" s="13" t="str">
        <x:v>Batches 6–10 hits</x:v>
      </x:c>
      <x:c r="D27" s="13" t="str">
        <x:v>First-half passages</x:v>
      </x:c>
      <x:c r="E27" s="13" t="str">
        <x:v>Second-half passages</x:v>
      </x:c>
      <x:c r="F27" s="13" t="str">
        <x:v>Assessment</x:v>
      </x:c>
    </x:row>
    <x:row r="28" ht="34" customHeight="1">
      <x:c r="A28" s="16" t="str">
        <x:v>materials</x:v>
      </x:c>
      <x:c r="B28" s="16" t="n">
        <x:v>25</x:v>
      </x:c>
      <x:c r="C28" s="16" t="n">
        <x:v>29</x:v>
      </x:c>
      <x:c r="D28" s="16" t="n">
        <x:v>14</x:v>
      </x:c>
      <x:c r="E28" s="16" t="n">
        <x:v>15</x:v>
      </x:c>
      <x:c r="F28" s="16" t="str">
        <x:v>Broadened</x:v>
      </x:c>
    </x:row>
    <x:row r="29" ht="34" customHeight="1">
      <x:c r="A29" s="16" t="str">
        <x:v>tools</x:v>
      </x:c>
      <x:c r="B29" s="16" t="n">
        <x:v>6</x:v>
      </x:c>
      <x:c r="C29" s="16" t="n">
        <x:v>24</x:v>
      </x:c>
      <x:c r="D29" s="16" t="n">
        <x:v>6</x:v>
      </x:c>
      <x:c r="E29" s="16" t="n">
        <x:v>14</x:v>
      </x:c>
      <x:c r="F29" s="16" t="str">
        <x:v>Broadened</x:v>
      </x:c>
    </x:row>
    <x:row r="30" ht="34" customHeight="1">
      <x:c r="A30" s="16" t="str">
        <x:v>weather / landscape</x:v>
      </x:c>
      <x:c r="B30" s="16" t="n">
        <x:v>36</x:v>
      </x:c>
      <x:c r="C30" s="16" t="n">
        <x:v>29</x:v>
      </x:c>
      <x:c r="D30" s="16" t="n">
        <x:v>14</x:v>
      </x:c>
      <x:c r="E30" s="16" t="n">
        <x:v>12</x:v>
      </x:c>
      <x:c r="F30" s="16" t="str">
        <x:v>Stable / topic-dependent</x:v>
      </x:c>
    </x:row>
    <x:row r="31" ht="34" customHeight="1">
      <x:c r="A31" s="16" t="str">
        <x:v>sound / movement</x:v>
      </x:c>
      <x:c r="B31" s="16" t="n">
        <x:v>157</x:v>
      </x:c>
      <x:c r="C31" s="16" t="n">
        <x:v>157</x:v>
      </x:c>
      <x:c r="D31" s="16" t="n">
        <x:v>54</x:v>
      </x:c>
      <x:c r="E31" s="16" t="n">
        <x:v>56</x:v>
      </x:c>
      <x:c r="F31" s="16" t="str">
        <x:v>Stable / topic-dependent</x:v>
      </x:c>
    </x:row>
    <x:row r="32" ht="34" customHeight="1">
      <x:c r="A32" s="16" t="str">
        <x:v>food / home</x:v>
      </x:c>
      <x:c r="B32" s="16" t="n">
        <x:v>44</x:v>
      </x:c>
      <x:c r="C32" s="16" t="n">
        <x:v>105</x:v>
      </x:c>
      <x:c r="D32" s="16" t="n">
        <x:v>20</x:v>
      </x:c>
      <x:c r="E32" s="16" t="n">
        <x:v>33</x:v>
      </x:c>
      <x:c r="F32" s="16" t="str">
        <x:v>Broadened</x:v>
      </x:c>
    </x:row>
    <x:row r="33" ht="34" customHeight="1">
      <x:c r="A33" s="16" t="str">
        <x:v>craft / repair / markets</x:v>
      </x:c>
      <x:c r="B33" s="16" t="n">
        <x:v>47</x:v>
      </x:c>
      <x:c r="C33" s="16" t="n">
        <x:v>58</x:v>
      </x:c>
      <x:c r="D33" s="16" t="n">
        <x:v>26</x:v>
      </x:c>
      <x:c r="E33" s="16" t="n">
        <x:v>24</x:v>
      </x:c>
      <x:c r="F33" s="16" t="str">
        <x:v>Broadened</x:v>
      </x:c>
    </x:row>
    <x:row r="34" ht="34" customHeight="1">
      <x:c r="A34" s="16" t="str">
        <x:v>performance / relationships</x:v>
      </x:c>
      <x:c r="B34" s="16" t="n">
        <x:v>14</x:v>
      </x:c>
      <x:c r="C34" s="16" t="n">
        <x:v>33</x:v>
      </x:c>
      <x:c r="D34" s="16" t="n">
        <x:v>9</x:v>
      </x:c>
      <x:c r="E34" s="16" t="n">
        <x:v>17</x:v>
      </x:c>
      <x:c r="F34" s="16" t="str">
        <x:v>Broadened</x:v>
      </x:c>
    </x:row>
    <x:row r="38" ht="32" customHeight="1">
      <x:c r="A38" s="13" t="str">
        <x:v>Topic</x:v>
      </x:c>
      <x:c r="B38" s="13" t="str">
        <x:v>Institutional-term mean</x:v>
      </x:c>
      <x:c r="C38" s="13" t="str">
        <x:v>High-institution passages</x:v>
      </x:c>
      <x:c r="D38" s="13" t="str">
        <x:v>Blind spot / final reading</x:v>
      </x:c>
    </x:row>
    <x:row r="39" ht="44" customHeight="1">
      <x:c r="A39" s="16" t="str">
        <x:v>Technology &amp; digital life</x:v>
      </x:c>
      <x:c r="B39" s="20" t="n">
        <x:v>9.428571428571429</x:v>
      </x:c>
      <x:c r="C39" s="16" t="str">
        <x:v>ECV2-LEG-003, ECV2-GOV-003, ECV2-NEW-004, ECV2-PRO-004, ECV2-NEW-003, ECV2-PRO-003, ECV2-LEG-004, ECV2-GOV-004</x:v>
      </x:c>
      <x:c r="D39" s="16" t="str">
        <x:v>Still strongly administrative</x:v>
      </x:c>
    </x:row>
    <x:row r="40" ht="44" customHeight="1">
      <x:c r="A40" s="16" t="str">
        <x:v>Public services &amp; civic life</x:v>
      </x:c>
      <x:c r="B40" s="20" t="n">
        <x:v>7.428571428571429</x:v>
      </x:c>
      <x:c r="C40" s="16" t="str">
        <x:v>ECV2-ART-015, ECV2-PRO-016, ECV2-BUS-015, ECV2-LEG-016, ECV2-LEG-015, ECV2-GOV-016, ECV2-PRO-015</x:v>
      </x:c>
      <x:c r="D40" s="16" t="str">
        <x:v>Still strongly administrative</x:v>
      </x:c>
    </x:row>
    <x:row r="41" ht="44" customHeight="1">
      <x:c r="A41" s="16" t="str">
        <x:v>Family, community &amp; relationships</x:v>
      </x:c>
      <x:c r="B41" s="20" t="n">
        <x:v>6.428571428571429</x:v>
      </x:c>
      <x:c r="C41" s="16" t="str">
        <x:v>ECV2-BUS-018, ECV2-NEW-018, ECV2-PRO-018, ECV2-LEG-018, ECV2-GOV-018, ECV2-GOV-017</x:v>
      </x:c>
      <x:c r="D41" s="16" t="str">
        <x:v>Numerical topic diversity is supported by varied settings</x:v>
      </x:c>
    </x:row>
    <x:row r="42" ht="44" customHeight="1">
      <x:c r="A42" s="16" t="str">
        <x:v>Culture, leisure &amp; everyday life</x:v>
      </x:c>
      <x:c r="B42" s="20" t="n">
        <x:v>6.142857142857143</x:v>
      </x:c>
      <x:c r="C42" s="16" t="str">
        <x:v>ECV2-GOV-020, ECV2-BUS-020, ECV2-PRO-020, ECV2-PRO-019</x:v>
      </x:c>
      <x:c r="D42" s="16" t="str">
        <x:v>Numerical topic diversity is supported by varied settings</x:v>
      </x:c>
    </x:row>
    <x:row r="43" ht="44" customHeight="1">
      <x:c r="A43" s="16" t="str">
        <x:v>Environment &amp; sustainability</x:v>
      </x:c>
      <x:c r="B43" s="20" t="n">
        <x:v>5.428571428571429</x:v>
      </x:c>
      <x:c r="C43" s="16" t="str">
        <x:v>ECV2-GOV-009, ECV2-PRO-009, ECV2-LEG-010, ECV2-PRO-010</x:v>
      </x:c>
      <x:c r="D43" s="16" t="str">
        <x:v>Numerical topic diversity is supported by varied settings</x:v>
      </x:c>
    </x:row>
    <x:row r="44" ht="44" customHeight="1">
      <x:c r="A44" s="16" t="str">
        <x:v>Health &amp; wellbeing</x:v>
      </x:c>
      <x:c r="B44" s="20" t="n">
        <x:v>5.357142857142857</x:v>
      </x:c>
      <x:c r="C44" s="16" t="str">
        <x:v>ECV2-GOV-005, ECV2-GOV-006, ECV2-LEG-005, ECV2-PRO-005, ECV2-LEG-006</x:v>
      </x:c>
      <x:c r="D44" s="16" t="str">
        <x:v>Numerical topic diversity is supported by varied settings</x:v>
      </x:c>
    </x:row>
    <x:row r="45" ht="44" customHeight="1">
      <x:c r="A45" s="16" t="str">
        <x:v>Work &amp; organisations</x:v>
      </x:c>
      <x:c r="B45" s="20" t="n">
        <x:v>4.571428571428571</x:v>
      </x:c>
      <x:c r="C45" s="16" t="str">
        <x:v>ECV2-BUS-001, ECV2-PRO-002</x:v>
      </x:c>
      <x:c r="D45" s="16" t="str">
        <x:v>Numerical topic diversity is supported by varied settings</x:v>
      </x:c>
    </x:row>
    <x:row r="46" ht="44" customHeight="1">
      <x:c r="A46" s="16" t="str">
        <x:v>Education &amp; learning</x:v>
      </x:c>
      <x:c r="B46" s="20" t="n">
        <x:v>4.428571428571429</x:v>
      </x:c>
      <x:c r="C46" s="16" t="str">
        <x:v>ECV2-PRO-007, ECV2-NEW-007, ECV2-BUS-008</x:v>
      </x:c>
      <x:c r="D46" s="16" t="str">
        <x:v>Numerical topic diversity is supported by varied settings</x:v>
      </x:c>
    </x:row>
    <x:row r="47" ht="44" customHeight="1">
      <x:c r="A47" s="16" t="str">
        <x:v>Money &amp; the economy</x:v>
      </x:c>
      <x:c r="B47" s="20" t="n">
        <x:v>4.357142857142857</x:v>
      </x:c>
      <x:c r="C47" s="16" t="str">
        <x:v>ECV2-GOV-013, ECV2-PRO-014</x:v>
      </x:c>
      <x:c r="D47" s="16" t="str">
        <x:v>Numerical topic diversity is supported by varied settings</x:v>
      </x:c>
    </x:row>
    <x:row r="48" ht="44" customHeight="1">
      <x:c r="A48" s="16" t="str">
        <x:v>Transport, housing &amp; places</x:v>
      </x:c>
      <x:c r="B48" s="20" t="n">
        <x:v>3.2857142857142856</x:v>
      </x:c>
      <x:c r="C48" s="16" t="str">
        <x:v>ECV2-LEG-011</x:v>
      </x:c>
      <x:c r="D48" s="16" t="str">
        <x:v>Numerical topic diversity is supported by varied settings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05" hidden="0" customWidth="1"/>
    <x:col min="4" max="4" width="55" hidden="0" customWidth="1"/>
  </x:cols>
  <x:sheetData>
    <x:row r="1" ht="36" customHeight="1">
      <x:c r="A1" s="3" t="str">
        <x:v>Corpus-wide authorial fingerprint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Automated patterns are signals; manual classification distinguishes convention from avoidable house style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Pattern</x:v>
      </x:c>
      <x:c r="B4" s="13" t="str">
        <x:v>Count</x:v>
      </x:c>
      <x:c r="C4" s="13" t="str">
        <x:v>Classification</x:v>
      </x:c>
      <x:c r="D4" s="13" t="str">
        <x:v>Final assessment</x:v>
      </x:c>
    </x:row>
    <x:row r="5" ht="52" customHeight="1">
      <x:c r="A5" s="16" t="str">
        <x:v>Concrete subject/case openings</x:v>
      </x:c>
      <x:c r="B5" s="16" t="n">
        <x:v>52</x:v>
      </x:c>
      <x:c r="C5" s="16" t="str">
        <x:v>Mixed</x:v>
      </x:c>
      <x:c r="D5" s="16" t="str">
        <x:v>Often manifest-required; risk arises when the object merely delays the same institutional argument.</x:v>
      </x:c>
    </x:row>
    <x:row r="6" ht="52" customHeight="1">
      <x:c r="A6" s="16" t="str">
        <x:v>Data/time openings</x:v>
      </x:c>
      <x:c r="B6" s="16" t="n">
        <x:v>39</x:v>
      </x:c>
      <x:c r="C6" s="16" t="str">
        <x:v>Genre-natural</x:v>
      </x:c>
      <x:c r="D6" s="16" t="str">
        <x:v>Expected in News and formal documents; opening placement is varied.</x:v>
      </x:c>
    </x:row>
    <x:row r="7" ht="52" customHeight="1">
      <x:c r="A7" s="16" t="str">
        <x:v>Question-led openings</x:v>
      </x:c>
      <x:c r="B7" s="16" t="n">
        <x:v>4</x:v>
      </x:c>
      <x:c r="C7" s="16" t="str">
        <x:v>Healthy restraint</x:v>
      </x:c>
      <x:c r="D7" s="16" t="str">
        <x:v>No question-opening formula.</x:v>
      </x:c>
    </x:row>
    <x:row r="8" ht="52" customHeight="1">
      <x:c r="A8" s="16" t="str">
        <x:v>Action/obligation endings</x:v>
      </x:c>
      <x:c r="B8" s="16" t="n">
        <x:v>64</x:v>
      </x:c>
      <x:c r="C8" s="16" t="str">
        <x:v>Genre-natural but prominent</x:v>
      </x:c>
      <x:c r="D8" s="16" t="str">
        <x:v>Concentrated in accountable genres; non-formal categories use more image/voice endings.</x:v>
      </x:c>
    </x:row>
    <x:row r="9" ht="52" customHeight="1">
      <x:c r="A9" s="16" t="str">
        <x:v>Date/number endings</x:v>
      </x:c>
      <x:c r="B9" s="16" t="n">
        <x:v>26</x:v>
      </x:c>
      <x:c r="C9" s="16" t="str">
        <x:v>Genre-natural</x:v>
      </x:c>
      <x:c r="D9" s="16" t="str">
        <x:v>Durable and measurable; no single final-sentence formula dominates.</x:v>
      </x:c>
    </x:row>
    <x:row r="10" ht="52" customHeight="1">
      <x:c r="A10" s="16" t="str">
        <x:v>‘The’ sentence openings</x:v>
      </x:c>
      <x:c r="B10" s="16" t="n">
        <x:v>490</x:v>
      </x:c>
      <x:c r="C10" s="16" t="str">
        <x:v>Broad grammatical habit</x:v>
      </x:c>
      <x:c r="D10" s="16" t="str">
        <x:v>Visible but not a release issue; vary agency through future editorial work.</x:v>
      </x:c>
    </x:row>
    <x:row r="11" ht="52" customHeight="1">
      <x:c r="A11" s="16" t="str">
        <x:v>‘The’ paragraph openings</x:v>
      </x:c>
      <x:c r="B11" s="16" t="n">
        <x:v>160</x:v>
      </x:c>
      <x:c r="C11" s="16" t="str">
        <x:v>Avoidable fingerprint signal</x:v>
      </x:c>
      <x:c r="D11" s="16" t="str">
        <x:v>Formal paragraphs often reopen with an institution or defined object.</x:v>
      </x:c>
    </x:row>
    <x:row r="12" ht="52" customHeight="1">
      <x:c r="A12" s="16" t="str">
        <x:v>Contrast-heavy passages</x:v>
      </x:c>
      <x:c r="B12" s="16" t="n">
        <x:v>63</x:v>
      </x:c>
      <x:c r="C12" s="16" t="str">
        <x:v>Mixed</x:v>
      </x:c>
      <x:c r="D12" s="16" t="str">
        <x:v>Many brief-required; repeated not-X/but-Y rhythm remains recognisable.</x:v>
      </x:c>
    </x:row>
    <x:row r="13" ht="52" customHeight="1">
      <x:c r="A13" s="16" t="str">
        <x:v>Exception-heavy passages</x:v>
      </x:c>
      <x:c r="B13" s="16" t="n">
        <x:v>13</x:v>
      </x:c>
      <x:c r="C13" s="16" t="str">
        <x:v>Genre-natural</x:v>
      </x:c>
      <x:c r="D13" s="16" t="str">
        <x:v>Legal/Proposal exceptions perform real authority or delivery work.</x:v>
      </x:c>
    </x:row>
    <x:row r="16" ht="32" customHeight="1">
      <x:c r="A16" s="13" t="str">
        <x:v>Repeated paragraph cadence</x:v>
      </x:c>
      <x:c r="B16" s="13" t="str">
        <x:v>Passages</x:v>
      </x:c>
      <x:c r="C16" s="13" t="str">
        <x:v>Affected IDs</x:v>
      </x:c>
      <x:c r="D16" s="13" t="str">
        <x:v>Assessment</x:v>
      </x:c>
    </x:row>
    <x:row r="17" ht="42" customHeight="1">
      <x:c r="A17" s="16" t="str">
        <x:v>4/4</x:v>
      </x:c>
      <x:c r="B17" s="16" t="n">
        <x:v>6</x:v>
      </x:c>
      <x:c r="C17" s="16" t="str">
        <x:v>ECV2-PER-013, ECV2-NEW-005, ECV2-GOV-015, ECV2-BUS-019, ECV2-BUS-005, ECV2-LEG-015</x:v>
      </x:c>
      <x:c r="D17" s="16" t="str">
        <x:v>Distributed; no dominant corpus skeleton</x:v>
      </x:c>
    </x:row>
    <x:row r="18" ht="42" customHeight="1">
      <x:c r="A18" s="16" t="str">
        <x:v>3/4</x:v>
      </x:c>
      <x:c r="B18" s="16" t="n">
        <x:v>6</x:v>
      </x:c>
      <x:c r="C18" s="16" t="str">
        <x:v>ECV2-PRO-011, ECV2-LEG-007, ECV2-BUS-009, ECV2-LEG-009, ECV2-GOV-001, ECV2-NEW-019</x:v>
      </x:c>
      <x:c r="D18" s="16" t="str">
        <x:v>Distributed; no dominant corpus skeleton</x:v>
      </x:c>
    </x:row>
    <x:row r="19" ht="42" customHeight="1">
      <x:c r="A19" s="16" t="str">
        <x:v>2/3/3/3/2</x:v>
      </x:c>
      <x:c r="B19" s="16" t="n">
        <x:v>5</x:v>
      </x:c>
      <x:c r="C19" s="16" t="str">
        <x:v>ECV2-BUS-018, ECV2-PRO-017, ECV2-GOV-007, ECV2-LEG-018, ECV2-GOV-010</x:v>
      </x:c>
      <x:c r="D19" s="16" t="str">
        <x:v>Distributed; no dominant corpus skeleton</x:v>
      </x:c>
    </x:row>
    <x:row r="20" ht="42" customHeight="1">
      <x:c r="A20" s="16" t="str">
        <x:v>3/4/3</x:v>
      </x:c>
      <x:c r="B20" s="16" t="n">
        <x:v>4</x:v>
      </x:c>
      <x:c r="C20" s="16" t="str">
        <x:v>ECV2-BUS-001, ECV2-NEW-003, ECV2-GOV-008, ECV2-GOV-014</x:v>
      </x:c>
      <x:c r="D20" s="16" t="str">
        <x:v>Distributed; no dominant corpus skeleton</x:v>
      </x:c>
    </x:row>
    <x:row r="21" ht="42" customHeight="1">
      <x:c r="A21" s="16" t="str">
        <x:v>2/3/3/3</x:v>
      </x:c>
      <x:c r="B21" s="16" t="n">
        <x:v>4</x:v>
      </x:c>
      <x:c r="C21" s="16" t="str">
        <x:v>ECV2-NEW-001, ECV2-NEW-007, ECV2-LEG-017, ECV2-LEG-002</x:v>
      </x:c>
      <x:c r="D21" s="16" t="str">
        <x:v>Distributed; no dominant corpus skeleton</x:v>
      </x:c>
    </x:row>
    <x:row r="22" ht="42" customHeight="1">
      <x:c r="A22" s="16" t="str">
        <x:v>4/5</x:v>
      </x:c>
      <x:c r="B22" s="16" t="n">
        <x:v>3</x:v>
      </x:c>
      <x:c r="C22" s="16" t="str">
        <x:v>ECV2-BUS-007, ECV2-PER-019, ECV2-ART-005</x:v>
      </x:c>
      <x:c r="D22" s="16" t="str">
        <x:v>Distributed; no dominant corpus skeleton</x:v>
      </x:c>
    </x:row>
    <x:row r="23" ht="42" customHeight="1">
      <x:c r="A23" s="16" t="str">
        <x:v>2/2/3/3/2</x:v>
      </x:c>
      <x:c r="B23" s="16" t="n">
        <x:v>3</x:v>
      </x:c>
      <x:c r="C23" s="16" t="str">
        <x:v>ECV2-GOV-019, ECV2-ART-012, ECV2-PRO-002</x:v>
      </x:c>
      <x:c r="D23" s="16" t="str">
        <x:v>Distributed; no dominant corpus skeleton</x:v>
      </x:c>
    </x:row>
    <x:row r="24" ht="42" customHeight="1">
      <x:c r="A24" s="16" t="str">
        <x:v>2/4/4/3</x:v>
      </x:c>
      <x:c r="B24" s="16" t="n">
        <x:v>3</x:v>
      </x:c>
      <x:c r="C24" s="16" t="str">
        <x:v>ECV2-PRO-001, ECV2-BUS-014, ECV2-PRO-013</x:v>
      </x:c>
      <x:c r="D24" s="16" t="str">
        <x:v>Distributed; no dominant corpus skeleton</x:v>
      </x:c>
    </x:row>
    <x:row r="25" ht="42" customHeight="1">
      <x:c r="A25" s="16" t="str">
        <x:v>2/3/2</x:v>
      </x:c>
      <x:c r="B25" s="16" t="n">
        <x:v>3</x:v>
      </x:c>
      <x:c r="C25" s="16" t="str">
        <x:v>ECV2-NEW-014, ECV2-NEW-012, ECV2-PRO-012</x:v>
      </x:c>
      <x:c r="D25" s="16" t="str">
        <x:v>Distributed; no dominant corpus skeleton</x:v>
      </x:c>
    </x:row>
    <x:row r="26" ht="42" customHeight="1">
      <x:c r="A26" s="16" t="str">
        <x:v>2/3/3/2</x:v>
      </x:c>
      <x:c r="B26" s="16" t="n">
        <x:v>3</x:v>
      </x:c>
      <x:c r="C26" s="16" t="str">
        <x:v>ECV2-PRO-016, ECV2-LEG-014, ECV2-LEG-005</x:v>
      </x:c>
      <x:c r="D26" s="16" t="str">
        <x:v>Distributed; no dominant corpus skeleton</x:v>
      </x:c>
    </x:row>
    <x:row r="27" ht="42" customHeight="1">
      <x:c r="A27" s="16" t="str">
        <x:v>2/3/3</x:v>
      </x:c>
      <x:c r="B27" s="16" t="n">
        <x:v>3</x:v>
      </x:c>
      <x:c r="C27" s="16" t="str">
        <x:v>ECV2-BUS-002, ECV2-LEG-008, ECV2-LEG-016</x:v>
      </x:c>
      <x:c r="D27" s="16" t="str">
        <x:v>Distributed; no dominant corpus skeleton</x:v>
      </x:c>
    </x:row>
    <x:row r="28" ht="42" customHeight="1">
      <x:c r="A28" s="16" t="str">
        <x:v>2/5/3</x:v>
      </x:c>
      <x:c r="B28" s="16" t="n">
        <x:v>3</x:v>
      </x:c>
      <x:c r="C28" s="16" t="str">
        <x:v>ECV2-PER-010, ECV2-GOV-017, ECV2-NEW-006</x:v>
      </x:c>
      <x:c r="D28" s="16" t="str">
        <x:v>Distributed; no dominant corpus skeleton</x:v>
      </x:c>
    </x:row>
    <x:row r="29" ht="42" customHeight="1">
      <x:c r="A29" s="16" t="str">
        <x:v>3/5/4</x:v>
      </x:c>
      <x:c r="B29" s="16" t="n">
        <x:v>2</x:v>
      </x:c>
      <x:c r="C29" s="16" t="str">
        <x:v>ECV2-ART-001, ECV2-BUS-010</x:v>
      </x:c>
      <x:c r="D29" s="16" t="str">
        <x:v>Distributed; no dominant corpus skeleton</x:v>
      </x:c>
    </x:row>
    <x:row r="30" ht="42" customHeight="1">
      <x:c r="A30" s="16" t="str">
        <x:v>3/4/4/5/4</x:v>
      </x:c>
      <x:c r="B30" s="16" t="n">
        <x:v>2</x:v>
      </x:c>
      <x:c r="C30" s="16" t="str">
        <x:v>ECV2-GOV-005, ECV2-PER-001</x:v>
      </x:c>
      <x:c r="D30" s="16" t="str">
        <x:v>Distributed; no dominant corpus skeleton</x:v>
      </x:c>
    </x:row>
    <x:row r="31" ht="42" customHeight="1">
      <x:c r="A31" s="16" t="str">
        <x:v>2/3/4/3</x:v>
      </x:c>
      <x:c r="B31" s="16" t="n">
        <x:v>2</x:v>
      </x:c>
      <x:c r="C31" s="16" t="str">
        <x:v>ECV2-GOV-012, ECV2-PRO-004</x:v>
      </x:c>
      <x:c r="D31" s="16" t="str">
        <x:v>Distributed; no dominant corpus skeleton</x:v>
      </x:c>
    </x:row>
    <x:row r="34" ht="32" customHeight="1">
      <x:c r="A34" s="13" t="str">
        <x:v>Transition / phrase</x:v>
      </x:c>
      <x:c r="B34" s="13" t="str">
        <x:v>Occurrences</x:v>
      </x:c>
      <x:c r="C34" s="13" t="str">
        <x:v>Affected passages</x:v>
      </x:c>
      <x:c r="D34" s="13" t="str">
        <x:v>Reading</x:v>
      </x:c>
    </x:row>
    <x:row r="35" ht="48" customHeight="1">
      <x:c r="A35" s="16" t="str">
        <x:v>the service</x:v>
      </x:c>
      <x:c r="B35" s="16" t="n">
        <x:v>43</x:v>
      </x:c>
      <x:c r="C35" s="16" t="str">
        <x:v>ECV2-NEW-015, ECV2-BUS-017, ECV2-PRO-001, ECV2-LEG-003, ECV2-GOV-005, ECV2-GOV-012, ECV2-PRO-009, ECV2-ART-009, ECV2-GOV-020, ECV2-PRO-016, ECV2-BUS-002, ECV2-GOV-006, ECV2-PRO-017, ECV2-PRO-020, ECV2-LEG-011, ECV2-PER-016, ECV2-BUS-019, ECV2-GOV-007, ECV2-GOV-013, ECV2-PRO-004, ECV2-LEG-018, ECV2-LEG-016, ECV2-PRO-002, ECV2-PRO-013, ECV2-PRO-015, ECV2-GOV-001, ECV2-GOV-017, ECV2-PRO-005, ECV2-GOV-004, ECV2-GOV-010, ECV2-LEG-002</x:v>
      </x:c>
      <x:c r="D35" s="16" t="str">
        <x:v>Formal atmosphere / authorial signal</x:v>
      </x:c>
    </x:row>
    <x:row r="36" ht="48" customHeight="1">
      <x:c r="A36" s="16" t="str">
        <x:v>the provider</x:v>
      </x:c>
      <x:c r="B36" s="16" t="n">
        <x:v>31</x:v>
      </x:c>
      <x:c r="C36" s="16" t="str">
        <x:v>ECV2-BUS-007, ECV2-ART-004, ECV2-PRO-017, ECV2-LEG-005, ECV2-PRO-008, ECV2-LEG-008, ECV2-LEG-016, ECV2-LEG-015, ECV2-BUS-006, ECV2-PRO-005, ECV2-LEG-006</x:v>
      </x:c>
      <x:c r="D36" s="16" t="str">
        <x:v>Formal atmosphere / authorial signal</x:v>
      </x:c>
    </x:row>
    <x:row r="37" ht="48" customHeight="1">
      <x:c r="A37" s="16" t="str">
        <x:v>if the</x:v>
      </x:c>
      <x:c r="B37" s="16" t="n">
        <x:v>24</x:v>
      </x:c>
      <x:c r="C37" s="16" t="str">
        <x:v>ECV2-PRO-001, ECV2-LEG-013, ECV2-GOV-012, ECV2-PER-014, ECV2-ART-014, ECV2-NEW-008, ECV2-GOV-015, ECV2-PRO-020, ECV2-LEG-014, ECV2-BUS-001, ECV2-GOV-007, ECV2-PRO-004, ECV2-LEG-018, ECV2-GOV-008, ECV2-LEG-008, ECV2-LEG-016, ECV2-ART-007, ECV2-GOV-018, ECV2-PRO-015, ECV2-LEG-017, ECV2-PER-018, ECV2-LEG-006</x:v>
      </x:c>
      <x:c r="D37" s="16" t="str">
        <x:v>Genre-natural or low-frequency</x:v>
      </x:c>
    </x:row>
    <x:row r="38" ht="48" customHeight="1">
      <x:c r="A38" s="16" t="str">
        <x:v>the final</x:v>
      </x:c>
      <x:c r="B38" s="16" t="n">
        <x:v>22</x:v>
      </x:c>
      <x:c r="C38" s="16" t="str">
        <x:v>ECV2-ART-015, ECV2-BUS-012, ECV2-NEW-011, ECV2-BUS-014, ECV2-GOV-003, ECV2-NEW-010, ECV2-LEG-014, ECV2-ART-013, ECV2-NEW-012, ECV2-GOV-007, ECV2-GOV-013, ECV2-PRO-019, ECV2-NEW-020, ECV2-GOV-014, ECV2-PRO-006, ECV2-PRO-008, ECV2-LEG-015, ECV2-ART-019, ECV2-NEW-002, ECV2-BUS-003, ECV2-BUS-016</x:v>
      </x:c>
      <x:c r="D38" s="16" t="str">
        <x:v>Formal atmosphere / authorial signal</x:v>
      </x:c>
    </x:row>
    <x:row r="39" ht="48" customHeight="1">
      <x:c r="A39" s="16" t="str">
        <x:v>the council</x:v>
      </x:c>
      <x:c r="B39" s="16" t="n">
        <x:v>12</x:v>
      </x:c>
      <x:c r="C39" s="16" t="str">
        <x:v>ECV2-NEW-015, ECV2-PER-009, ECV2-GOV-015, ECV2-ART-010, ECV2-BUS-015, ECV2-GOV-014, ECV2-PER-015, ECV2-GOV-017, ECV2-NEW-019</x:v>
      </x:c>
      <x:c r="D39" s="16" t="str">
        <x:v>Genre-natural or low-frequency</x:v>
      </x:c>
    </x:row>
    <x:row r="40" ht="48" customHeight="1">
      <x:c r="A40" s="16" t="str">
        <x:v>for example</x:v>
      </x:c>
      <x:c r="B40" s="16" t="n">
        <x:v>10</x:v>
      </x:c>
      <x:c r="C40" s="16" t="str">
        <x:v>ECV2-LEG-003, ECV2-PRO-016, ECV2-PRO-017, ECV2-BUS-001, ECV2-LEG-005, ECV2-PRO-015, ECV2-PRO-014, ECV2-LEG-004, ECV2-LEG-002, ECV2-LEG-006</x:v>
      </x:c>
      <x:c r="D40" s="16" t="str">
        <x:v>Genre-natural or low-frequency</x:v>
      </x:c>
    </x:row>
    <x:row r="41" ht="48" customHeight="1">
      <x:c r="A41" s="16" t="str">
        <x:v>one exception</x:v>
      </x:c>
      <x:c r="B41" s="16" t="n">
        <x:v>10</x:v>
      </x:c>
      <x:c r="C41" s="16" t="str">
        <x:v>ECV2-ART-010, ECV2-ART-013, ECV2-GOV-014, ECV2-BUS-011, ECV2-BUS-004, ECV2-PRO-013, ECV2-NEW-002, ECV2-GOV-017, ECV2-BUS-008, ECV2-GOV-004, ECV2-PRO-010</x:v>
      </x:c>
      <x:c r="D41" s="16" t="str">
        <x:v>Genre-natural or low-frequency</x:v>
      </x:c>
    </x:row>
    <x:row r="42" ht="48" customHeight="1">
      <x:c r="A42" s="16" t="str">
        <x:v>an exception</x:v>
      </x:c>
      <x:c r="B42" s="16" t="n">
        <x:v>7</x:v>
      </x:c>
      <x:c r="C42" s="16" t="str">
        <x:v>ECV2-BUS-012, ECV2-PRO-016, ECV2-PRO-017, ECV2-LEG-005, ECV2-BUS-015, ECV2-ART-016, ECV2-LEG-002</x:v>
      </x:c>
      <x:c r="D42" s="16" t="str">
        <x:v>Genre-natural or low-frequency</x:v>
      </x:c>
    </x:row>
    <x:row r="43" ht="48" customHeight="1">
      <x:c r="A43" s="16" t="str">
        <x:v>in that case</x:v>
      </x:c>
      <x:c r="B43" s="16" t="n">
        <x:v>3</x:v>
      </x:c>
      <x:c r="C43" s="16" t="str">
        <x:v>ECV2-LEG-011, ECV2-GOV-018, ECV2-PRO-015</x:v>
      </x:c>
      <x:c r="D43" s="16" t="str">
        <x:v>Genre-natural or low-frequency</x:v>
      </x:c>
    </x:row>
    <x:row r="44" ht="48" customHeight="1">
      <x:c r="A44" s="16" t="str">
        <x:v>the result</x:v>
      </x:c>
      <x:c r="B44" s="16" t="n">
        <x:v>3</x:v>
      </x:c>
      <x:c r="C44" s="16" t="str">
        <x:v>ECV2-LEG-020, ECV2-ART-009, ECV2-BUS-014, ECV2-NEW-010, ECV2-ART-005, ECV2-PER-015</x:v>
      </x:c>
      <x:c r="D44" s="16" t="str">
        <x:v>Genre-natural or low-frequency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6" hidden="0" customWidth="1"/>
    <x:col min="3" max="3" width="83" hidden="0" customWidth="1"/>
    <x:col min="4" max="4" width="76" hidden="0" customWidth="1"/>
  </x:cols>
  <x:sheetData>
    <x:row r="1" ht="36" customHeight="1">
      <x:c r="A1" s="3" t="str">
        <x:v>Final title audit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140 exact-unique titles; near matches reviewed for genre authenticity rather than statistical novelty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Pattern</x:v>
      </x:c>
      <x:c r="B4" s="13" t="str">
        <x:v>Count</x:v>
      </x:c>
      <x:c r="C4" s="13" t="str">
        <x:v>Status</x:v>
      </x:c>
      <x:c r="D4" s="13" t="str">
        <x:v>Assessment</x:v>
      </x:c>
    </x:row>
    <x:row r="5" ht="40" customHeight="1">
      <x:c r="A5" s="16" t="str">
        <x:v>Exact duplicates</x:v>
      </x:c>
      <x:c r="B5" s="16" t="n">
        <x:v>0</x:v>
      </x:c>
      <x:c r="C5" s="16" t="str">
        <x:v>PASS</x:v>
      </x:c>
      <x:c r="D5" s="16" t="str">
        <x:v>140 unique titles</x:v>
      </x:c>
    </x:row>
    <x:row r="6" ht="40" customHeight="1">
      <x:c r="A6" s="16" t="str">
        <x:v>Starts with ‘The’</x:v>
      </x:c>
      <x:c r="B6" s="16" t="n">
        <x:v>22</x:v>
      </x:c>
      <x:c r="C6" s="16" t="str">
        <x:v>NON-BLOCKING</x:v>
      </x:c>
      <x:c r="D6" s="16" t="str">
        <x:v>Concentrated in Articles/Personal; natural</x:v>
      </x:c>
    </x:row>
    <x:row r="7" ht="40" customHeight="1">
      <x:c r="A7" s="16" t="str">
        <x:v>Starts with ‘A’</x:v>
      </x:c>
      <x:c r="B7" s="16" t="n">
        <x:v>6</x:v>
      </x:c>
      <x:c r="C7" s="16" t="str">
        <x:v>PASS</x:v>
      </x:c>
      <x:c r="D7" s="16" t="str">
        <x:v>No formula concentration</x:v>
      </x:c>
    </x:row>
    <x:row r="8" ht="40" customHeight="1">
      <x:c r="A8" s="16" t="str">
        <x:v>Starts with ‘When’</x:v>
      </x:c>
      <x:c r="B8" s="16" t="n">
        <x:v>3</x:v>
      </x:c>
      <x:c r="C8" s="16" t="str">
        <x:v>PASS</x:v>
      </x:c>
      <x:c r="D8" s="16" t="str">
        <x:v>All Articles; distinct subjects</x:v>
      </x:c>
    </x:row>
    <x:row r="9" ht="40" customHeight="1">
      <x:c r="A9" s="16" t="str">
        <x:v>Colon/subtitle</x:v>
      </x:c>
      <x:c r="B9" s="16" t="n">
        <x:v>7</x:v>
      </x:c>
      <x:c r="C9" s="16" t="str">
        <x:v>PASS</x:v>
      </x:c>
      <x:c r="D9" s="16" t="str">
        <x:v>Business/Government concentration is genre-natural</x:v>
      </x:c>
    </x:row>
    <x:row r="10" ht="40" customHeight="1">
      <x:c r="A10" s="16" t="str">
        <x:v>Gerund opening</x:v>
      </x:c>
      <x:c r="B10" s="16" t="n">
        <x:v>19</x:v>
      </x:c>
      <x:c r="C10" s="16" t="str">
        <x:v>NON-BLOCKING</x:v>
      </x:c>
      <x:c r="D10" s="16" t="str">
        <x:v>Several retained identities and task-led formal titles</x:v>
      </x:c>
    </x:row>
    <x:row r="11" ht="40" customHeight="1">
      <x:c r="A11" s="16" t="str">
        <x:v>‘Notice of…’</x:v>
      </x:c>
      <x:c r="B11" s="16" t="n">
        <x:v>4</x:v>
      </x:c>
      <x:c r="C11" s="16" t="str">
        <x:v>PASS</x:v>
      </x:c>
      <x:c r="D11" s="16" t="str">
        <x:v>Authentic Government/Legal document naming</x:v>
      </x:c>
    </x:row>
    <x:row r="14" ht="32" customHeight="1">
      <x:c r="A14" s="13" t="str">
        <x:v>Pair</x:v>
      </x:c>
      <x:c r="B14" s="13" t="str">
        <x:v>Token similarity</x:v>
      </x:c>
      <x:c r="C14" s="13" t="str">
        <x:v>Assessment</x:v>
      </x:c>
    </x:row>
    <x:row r="15" ht="38" customHeight="1">
      <x:c r="A15" s="16" t="str">
        <x:v>Late-Night Venue Licensing: Consultation Response ↔ A Constructive Response to Public Consultation</x:v>
      </x:c>
      <x:c r="B15" s="21" t="n">
        <x:v>0.2857142857142857</x:v>
      </x:c>
      <x:c r="C15" s="16" t="str">
        <x:v>Shared functional words; titles remain distinct</x:v>
      </x:c>
    </x:row>
    <x:row r="16" ht="38" customHeight="1">
      <x:c r="A16" s="16" t="str">
        <x:v>A Constructive Response to Public Consultation ↔ Kinship Carer Consultation: Findings and Response</x:v>
      </x:c>
      <x:c r="B16" s="21" t="n">
        <x:v>0.2857142857142857</x:v>
      </x:c>
      <x:c r="C16" s="16" t="str">
        <x:v>Shared functional words; titles remain distinct</x:v>
      </x:c>
    </x:row>
    <x:row r="17" ht="38" customHeight="1">
      <x:c r="A17" s="16" t="str">
        <x:v>When the Folder Is Not the Handover ↔ Northbank Project Handover</x:v>
      </x:c>
      <x:c r="B17" s="21" t="n">
        <x:v>0.25</x:v>
      </x:c>
      <x:c r="C17" s="16" t="str">
        <x:v>Shared functional words; titles remain distinct</x:v>
      </x:c>
    </x:row>
    <x:row r="18" ht="38" customHeight="1">
      <x:c r="A18" s="16" t="str">
        <x:v>Decision Needed: Apprenticeship Training Budget ↔ Decision Needed on Occupational-Health Referral Delays</x:v>
      </x:c>
      <x:c r="B18" s="21" t="n">
        <x:v>0.25</x:v>
      </x:c>
      <x:c r="C18" s="16" t="str">
        <x:v>Shared functional words; titles remain distinct</x:v>
      </x:c>
    </x:row>
    <x:row r="19" ht="38" customHeight="1">
      <x:c r="A19" s="16" t="str">
        <x:v>Late-Night Venue Licensing: Consultation Response ↔ Kinship Carer Consultation: Findings and Response</x:v>
      </x:c>
      <x:c r="B19" s="21" t="n">
        <x:v>0.25</x:v>
      </x:c>
      <x:c r="C19" s="16" t="str">
        <x:v>Shared functional words; titles remain distinct</x:v>
      </x:c>
    </x:row>
    <x:row r="20" ht="38" customHeight="1">
      <x:c r="A20" s="16" t="str">
        <x:v>Consultation Findings on Local Rates Relief ↔ Kinship Carer Consultation: Findings and Response</x:v>
      </x:c>
      <x:c r="B20" s="21" t="n">
        <x:v>0.25</x:v>
      </x:c>
      <x:c r="C20" s="16" t="str">
        <x:v>Shared functional words; titles remain distinct</x:v>
      </x:c>
    </x:row>
    <x:row r="21" ht="38" customHeight="1">
      <x:c r="A21" s="16" t="str">
        <x:v>What Adult Learners Said about Local Classes ↔ Adult Numeracy Workshops in Local Libraries</x:v>
      </x:c>
      <x:c r="B21" s="21" t="n">
        <x:v>0.2222222222222222</x:v>
      </x:c>
      <x:c r="C21" s="16" t="str">
        <x:v>No meaningful near-duplicate</x:v>
      </x:c>
    </x:row>
    <x:row r="22" ht="38" customHeight="1">
      <x:c r="A22" s="16" t="str">
        <x:v>New Rules Proposed for High-Risk Artificial Intelligence ↔ Responsible Artificial Intelligence Procurement Terms</x:v>
      </x:c>
      <x:c r="B22" s="21" t="n">
        <x:v>0.2222222222222222</x:v>
      </x:c>
      <x:c r="C22" s="16" t="str">
        <x:v>No meaningful near-duplicate</x:v>
      </x:c>
    </x:row>
    <x:row r="23" ht="38" customHeight="1">
      <x:c r="A23" s="16" t="str">
        <x:v>When the Folder Is Not the Handover ↔ Regional Induction Programme Handover</x:v>
      </x:c>
      <x:c r="B23" s="21" t="n">
        <x:v>0.2</x:v>
      </x:c>
      <x:c r="C23" s="16" t="str">
        <x:v>No meaningful near-duplicate</x:v>
      </x:c>
    </x:row>
    <x:row r="24" ht="38" customHeight="1">
      <x:c r="A24" s="16" t="str">
        <x:v>The Minutes a Bus Does Not Move ↔ How Bedtime Moves by Minutes</x:v>
      </x:c>
      <x:c r="B24" s="21" t="n">
        <x:v>0.2</x:v>
      </x:c>
      <x:c r="C24" s="16" t="str">
        <x:v>No meaningful near-duplicate</x:v>
      </x:c>
    </x:row>
    <x:row r="25" ht="38" customHeight="1">
      <x:c r="A25" s="16" t="str">
        <x:v>The Minutes a Bus Does Not Move ↔ Local Stories on the Move</x:v>
      </x:c>
      <x:c r="B25" s="21" t="n">
        <x:v>0.2</x:v>
      </x:c>
      <x:c r="C25" s="16" t="str">
        <x:v>No meaningful near-duplicate</x:v>
      </x:c>
    </x:row>
    <x:row r="26" ht="38" customHeight="1">
      <x:c r="A26" s="16" t="str">
        <x:v>Keeping Digital Records Useful ↔ The Useful Pause</x:v>
      </x:c>
      <x:c r="B26" s="21" t="n">
        <x:v>0.2</x:v>
      </x:c>
      <x:c r="C26" s="16" t="str">
        <x:v>No meaningful near-duplicate</x:v>
      </x:c>
    </x:row>
    <x:row r="27" ht="38" customHeight="1">
      <x:c r="A27" s="16" t="str">
        <x:v>The Door That Became a Question ↔ The Question You Answer Without Notes</x:v>
      </x:c>
      <x:c r="B27" s="21" t="n">
        <x:v>0.2</x:v>
      </x:c>
      <x:c r="C27" s="16" t="str">
        <x:v>No meaningful near-duplicate</x:v>
      </x:c>
    </x:row>
    <x:row r="28" ht="38" customHeight="1">
      <x:c r="A28" s="16" t="str">
        <x:v>When the Folder Is Not the Handover ↔ Volunteer Leave Handover for the Community Team</x:v>
      </x:c>
      <x:c r="B28" s="21" t="n">
        <x:v>0.16666666666666666</x:v>
      </x:c>
      <x:c r="C28" s="16" t="str">
        <x:v>No meaningful near-duplicate</x:v>
      </x:c>
    </x:row>
    <x:row r="29" ht="38" customHeight="1">
      <x:c r="A29" s="16" t="str">
        <x:v>When the Folder Is Not the Handover ↔ Riverside Festival Venue Account Handover</x:v>
      </x:c>
      <x:c r="B29" s="21" t="n">
        <x:v>0.16666666666666666</x:v>
      </x:c>
      <x:c r="C29" s="16" t="str">
        <x:v>No meaningful near-duplicate</x:v>
      </x:c>
    </x:row>
    <x:row r="30" ht="38" customHeight="1">
      <x:c r="A30" s="16" t="str">
        <x:v>Finding a Better Digital Balance ↔ A Better Public Notice</x:v>
      </x:c>
      <x:c r="B30" s="21" t="n">
        <x:v>0.16666666666666666</x:v>
      </x:c>
      <x:c r="C30" s="16" t="str">
        <x:v>No meaningful near-duplicate</x:v>
      </x:c>
    </x:row>
    <x:row r="31" ht="38" customHeight="1">
      <x:c r="A31" s="16" t="str">
        <x:v>A Fairer Way to Share the Bills ↔ The Bills That Arrive Once</x:v>
      </x:c>
      <x:c r="B31" s="21" t="n">
        <x:v>0.16666666666666666</x:v>
      </x:c>
      <x:c r="C31" s="16" t="str">
        <x:v>No meaningful near-duplicate</x:v>
      </x:c>
    </x:row>
    <x:row r="32" ht="38" customHeight="1">
      <x:c r="A32" s="16" t="str">
        <x:v>Data Processing and Confidentiality Schedule ↔ Student Placement Confidentiality</x:v>
      </x:c>
      <x:c r="B32" s="21" t="n">
        <x:v>0.16666666666666666</x:v>
      </x:c>
      <x:c r="C32" s="16" t="str">
        <x:v>No meaningful near-duplicate</x:v>
      </x:c>
    </x:row>
    <x:row r="33" ht="38" customHeight="1">
      <x:c r="A33" s="16" t="str">
        <x:v>What Quiet Hours Ask of a Team ↔ The Questions I Forgot to Ask</x:v>
      </x:c>
      <x:c r="B33" s="21" t="n">
        <x:v>0.16666666666666666</x:v>
      </x:c>
      <x:c r="C33" s="16" t="str">
        <x:v>No meaningful near-duplicate</x:v>
      </x:c>
    </x:row>
    <x:row r="34" ht="38" customHeight="1">
      <x:c r="A34" s="16" t="str">
        <x:v>The Street Beyond the Blue Dot ↔ Beyond the Recycling Lorry</x:v>
      </x:c>
      <x:c r="B34" s="21" t="n">
        <x:v>0.16666666666666666</x:v>
      </x:c>
      <x:c r="C34" s="16" t="str">
        <x:v>No meaningful near-duplicate</x:v>
      </x:c>
    </x:row>
    <x:row r="37" ht="32" customHeight="1">
      <x:c r="A37" s="13" t="str">
        <x:v>Brief ID</x:v>
      </x:c>
      <x:c r="B37" s="13" t="str">
        <x:v>Title</x:v>
      </x:c>
      <x:c r="C37" s="13" t="str">
        <x:v>Finding</x:v>
      </x:c>
      <x:c r="D37" s="13" t="str">
        <x:v>Release action</x:v>
      </x:c>
    </x:row>
    <x:row r="38" ht="60" customHeight="1">
      <x:c r="A38" s="16" t="str">
        <x:v>ECV2-PRO-001</x:v>
      </x:c>
      <x:c r="B38" s="16" t="str">
        <x:v>Designing a Reliable Process</x:v>
      </x:c>
      <x:c r="C38" s="16" t="str">
        <x:v>Retained legacy title is broad, but the revised prose now makes the concrete repair-route proposal unmistakable.</x:v>
      </x:c>
      <x:c r="D38" s="16" t="str">
        <x:v>Retain title; no release mismatch remains.</x:v>
      </x:c>
    </x:row>
    <x:row r="39" ht="60" customHeight="1">
      <x:c r="A39" s="16" t="str">
        <x:v>ECV2-BUS-005 / BUS-006</x:v>
      </x:c>
      <x:c r="B39" s="16" t="str">
        <x:v>Decision Required / Decision Needed</x:v>
      </x:c>
      <x:c r="C39" s="16" t="str">
        <x:v>Similar syntax but authentic document function and different operational decisions.</x:v>
      </x:c>
      <x:c r="D39" s="16" t="str">
        <x:v>Retain.</x:v>
      </x:c>
    </x:row>
    <x:row r="40" ht="60" customHeight="1">
      <x:c r="A40" s="16" t="str">
        <x:v>ECV2-GOV-014 / GOV-017 / GOV-019</x:v>
      </x:c>
      <x:c r="B40" s="16" t="str">
        <x:v>Consultation title family</x:v>
      </x:c>
      <x:c r="C40" s="16" t="str">
        <x:v>Genre-natural and accurately descriptive.</x:v>
      </x:c>
      <x:c r="D40" s="16" t="str">
        <x:v>Retain.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112" hidden="0" customWidth="1"/>
    <x:col min="5" max="5" width="25" hidden="0" customWidth="1"/>
    <x:col min="6" max="6" width="22" hidden="0" customWidth="1"/>
    <x:col min="7" max="7" width="20" hidden="0" customWidth="1"/>
    <x:col min="8" max="8" width="22" hidden="0" customWidth="1"/>
  </x:cols>
  <x:sheetData>
    <x:row r="1" ht="36" customHeight="1">
      <x:c r="A1" s="3" t="str">
        <x:v>Final internal difficulty calibration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Difficulty is editorial metadata only; corpus release does not require schema support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Difficulty</x:v>
      </x:c>
      <x:c r="B4" s="13" t="str">
        <x:v>Count</x:v>
      </x:c>
      <x:c r="C4" s="13" t="str">
        <x:v>Mean words</x:v>
      </x:c>
      <x:c r="D4" s="13" t="str">
        <x:v>Mean sentence</x:v>
      </x:c>
      <x:c r="E4" s="13" t="str">
        <x:v>Mean longest sentence</x:v>
      </x:c>
      <x:c r="F4" s="13" t="str">
        <x:v>Clauses / sentence</x:v>
      </x:c>
      <x:c r="G4" s="13" t="str">
        <x:v>Long-word rate</x:v>
      </x:c>
      <x:c r="H4" s="13" t="str">
        <x:v>Numerals / passage</x:v>
      </x:c>
    </x:row>
    <x:row r="5" ht="38" customHeight="1">
      <x:c r="A5" s="16" t="str">
        <x:v>Accessible</x:v>
      </x:c>
      <x:c r="B5" s="16" t="n">
        <x:v>35</x:v>
      </x:c>
      <x:c r="C5" s="20" t="n">
        <x:v>195.65714285714284</x:v>
      </x:c>
      <x:c r="D5" s="20" t="n">
        <x:v>19.52550029335744</x:v>
      </x:c>
      <x:c r="E5" s="20" t="n">
        <x:v>31.771428571428572</x:v>
      </x:c>
      <x:c r="F5" s="20" t="n">
        <x:v>0.7392826221397651</x:v>
      </x:c>
      <x:c r="G5" s="22" t="n">
        <x:v>0.1122606543683567</x:v>
      </x:c>
      <x:c r="H5" s="20" t="n">
        <x:v>2.914285714285714</x:v>
      </x:c>
    </x:row>
    <x:row r="6" ht="38" customHeight="1">
      <x:c r="A6" s="16" t="str">
        <x:v>Core</x:v>
      </x:c>
      <x:c r="B6" s="16" t="n">
        <x:v>70</x:v>
      </x:c>
      <x:c r="C6" s="20" t="n">
        <x:v>259.65714285714284</x:v>
      </x:c>
      <x:c r="D6" s="20" t="n">
        <x:v>18.38863772221447</x:v>
      </x:c>
      <x:c r="E6" s="20" t="n">
        <x:v>29.65714285714286</x:v>
      </x:c>
      <x:c r="F6" s="20" t="n">
        <x:v>0.6942507514732915</x:v>
      </x:c>
      <x:c r="G6" s="22" t="n">
        <x:v>0.12806477057122298</x:v>
      </x:c>
      <x:c r="H6" s="20" t="n">
        <x:v>2.5285714285714285</x:v>
      </x:c>
    </x:row>
    <x:row r="7" ht="38" customHeight="1">
      <x:c r="A7" s="16" t="str">
        <x:v>Challenging</x:v>
      </x:c>
      <x:c r="B7" s="16" t="n">
        <x:v>35</x:v>
      </x:c>
      <x:c r="C7" s="20" t="n">
        <x:v>283</x:v>
      </x:c>
      <x:c r="D7" s="20" t="n">
        <x:v>18.909249295051747</x:v>
      </x:c>
      <x:c r="E7" s="20" t="n">
        <x:v>31.285714285714285</x:v>
      </x:c>
      <x:c r="F7" s="20" t="n">
        <x:v>0.7085077057819016</x:v>
      </x:c>
      <x:c r="G7" s="22" t="n">
        <x:v>0.12632813675667012</x:v>
      </x:c>
      <x:c r="H7" s="20" t="n">
        <x:v>3.0285714285714285</x:v>
      </x:c>
    </x:row>
    <x:row r="11" ht="32" customHeight="1">
      <x:c r="A11" s="13" t="str">
        <x:v>Brief ID</x:v>
      </x:c>
      <x:c r="B11" s="13" t="str">
        <x:v>Current</x:v>
      </x:c>
      <x:c r="C11" s="13" t="str">
        <x:v>Recommended</x:v>
      </x:c>
      <x:c r="D11" s="13" t="str">
        <x:v>Reason</x:v>
      </x:c>
    </x:row>
    <x:row r="12" ht="54" customHeight="1">
      <x:c r="A12" s="16" t="str">
        <x:v>ECV2-LEG-007</x:v>
      </x:c>
      <x:c r="B12" s="16" t="str">
        <x:v>Accessible</x:v>
      </x:c>
      <x:c r="C12" s="16" t="str">
        <x:v>Core</x:v>
      </x:c>
      <x:c r="D12" s="16" t="str">
        <x:v>Defined-party density and 19.7% long-word rate exceed the Accessible corpus norm.</x:v>
      </x:c>
    </x:row>
    <x:row r="13" ht="54" customHeight="1">
      <x:c r="A13" s="16" t="str">
        <x:v>ECV2-LEG-012</x:v>
      </x:c>
      <x:c r="B13" s="16" t="str">
        <x:v>Accessible</x:v>
      </x:c>
      <x:c r="C13" s="16" t="str">
        <x:v>Core</x:v>
      </x:c>
      <x:c r="D13" s="16" t="str">
        <x:v>23.7-word mean sentence, references, numbers, quotation and parentheses.</x:v>
      </x:c>
    </x:row>
    <x:row r="14" ht="54" customHeight="1">
      <x:c r="A14" s="16" t="str">
        <x:v>ECV2-LEG-014</x:v>
      </x:c>
      <x:c r="B14" s="16" t="str">
        <x:v>Accessible</x:v>
      </x:c>
      <x:c r="C14" s="16" t="str">
        <x:v>Core</x:v>
      </x:c>
      <x:c r="D14" s="16" t="str">
        <x:v>Clause density 1.0 and reference density 1.2 despite clear prose.</x:v>
      </x:c>
    </x:row>
    <x:row r="15" ht="54" customHeight="1">
      <x:c r="A15" s="16" t="str">
        <x:v>ECV2-ART-013</x:v>
      </x:c>
      <x:c r="B15" s="16" t="str">
        <x:v>Accessible</x:v>
      </x:c>
      <x:c r="C15" s="16" t="str">
        <x:v>Core</x:v>
      </x:c>
      <x:c r="D15" s="16" t="str">
        <x:v>12 numerals and compound-interest calculations create material typing/information load.</x:v>
      </x:c>
    </x:row>
    <x:row r="16" ht="54" customHeight="1">
      <x:c r="A16" s="16" t="str">
        <x:v>ECV2-NEW-012</x:v>
      </x:c>
      <x:c r="B16" s="16" t="str">
        <x:v>Accessible</x:v>
      </x:c>
      <x:c r="C16" s="16" t="str">
        <x:v>Core</x:v>
      </x:c>
      <x:c r="D16" s="16" t="str">
        <x:v>8 numerals in 151 words and highest marked-punctuation density (4.64 per 100 words).</x:v>
      </x:c>
    </x:row>
    <x:row r="19">
      <x:c r="A19" s="26" t="str">
        <x:v>Quota note: applying all five recommendations alone would change the locked mix to 30 Accessible / 75 Core / 35 Challenging. No equally well-supported Core → Accessible counterweights were identified. Because difficulty is internal and unused by runtime filters, retain the manifest quota for v2 migration artifacts and schedule a later paired calibration rather than forcing compensating labels.</x:v>
      </x:c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</x:sheetData>
  <x:mergeCells>
    <x:mergeCell ref="A1:H1"/>
    <x:mergeCell ref="A2:H2"/>
    <x:mergeCell ref="A19:H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9" hidden="0" customWidth="1"/>
    <x:col min="3" max="3" width="71" hidden="0" customWidth="1"/>
    <x:col min="4" max="4" width="78" hidden="0" customWidth="1"/>
    <x:col min="5" max="5" width="22" hidden="0" customWidth="1"/>
    <x:col min="6" max="6" width="22" hidden="0" customWidth="1"/>
    <x:col min="7" max="7" width="21" hidden="0" customWidth="1"/>
    <x:col min="8" max="8" width="29" hidden="0" customWidth="1"/>
  </x:cols>
  <x:sheetData>
    <x:row r="1" ht="36" customHeight="1">
      <x:c r="A1" s="3" t="str">
        <x:v>Length and typing-experience audit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Passages reviewed as keyboard material, including punctuation, numerals and unsupported typography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Tier</x:v>
      </x:c>
      <x:c r="B4" s="13" t="str">
        <x:v>Count</x:v>
      </x:c>
      <x:c r="C4" s="13" t="str">
        <x:v>Mean words</x:v>
      </x:c>
      <x:c r="D4" s="13" t="str">
        <x:v>Minimum</x:v>
      </x:c>
      <x:c r="E4" s="13" t="str">
        <x:v>Maximum</x:v>
      </x:c>
      <x:c r="F4" s="13" t="str">
        <x:v>Mean sentence</x:v>
      </x:c>
      <x:c r="G4" s="13" t="str">
        <x:v>Mean paragraph</x:v>
      </x:c>
      <x:c r="H4" s="13" t="str">
        <x:v>Marked punctuation / 100</x:v>
      </x:c>
    </x:row>
    <x:row r="5" ht="38" customHeight="1">
      <x:c r="A5" s="16" t="str">
        <x:v>Compact</x:v>
      </x:c>
      <x:c r="B5" s="16" t="n">
        <x:v>28</x:v>
      </x:c>
      <x:c r="C5" s="20" t="n">
        <x:v>154.85714285714286</x:v>
      </x:c>
      <x:c r="D5" s="20" t="n">
        <x:v>140</x:v>
      </x:c>
      <x:c r="E5" s="20" t="n">
        <x:v>185</x:v>
      </x:c>
      <x:c r="F5" s="20" t="n">
        <x:v>19.95120207173779</x:v>
      </x:c>
      <x:c r="G5" s="20" t="n">
        <x:v>68.9702380952381</x:v>
      </x:c>
      <x:c r="H5" s="20" t="n">
        <x:v>1.5044674617032296</x:v>
      </x:c>
    </x:row>
    <x:row r="6" ht="38" customHeight="1">
      <x:c r="A6" s="16" t="str">
        <x:v>Standard</x:v>
      </x:c>
      <x:c r="B6" s="16" t="n">
        <x:v>78</x:v>
      </x:c>
      <x:c r="C6" s="20" t="n">
        <x:v>230.51282051282053</x:v>
      </x:c>
      <x:c r="D6" s="20" t="n">
        <x:v>200</x:v>
      </x:c>
      <x:c r="E6" s="20" t="n">
        <x:v>320</x:v>
      </x:c>
      <x:c r="F6" s="20" t="n">
        <x:v>18.8698278772091</x:v>
      </x:c>
      <x:c r="G6" s="20" t="n">
        <x:v>60.37243589743588</x:v>
      </x:c>
      <x:c r="H6" s="20" t="n">
        <x:v>1.1805156779636836</x:v>
      </x:c>
    </x:row>
    <x:row r="7" ht="38" customHeight="1">
      <x:c r="A7" s="16" t="str">
        <x:v>Extended</x:v>
      </x:c>
      <x:c r="B7" s="16" t="n">
        <x:v>34</x:v>
      </x:c>
      <x:c r="C7" s="20" t="n">
        <x:v>370.97058823529414</x:v>
      </x:c>
      <x:c r="D7" s="20" t="n">
        <x:v>350</x:v>
      </x:c>
      <x:c r="E7" s="20" t="n">
        <x:v>434</x:v>
      </x:c>
      <x:c r="F7" s="20" t="n">
        <x:v>17.704136579951946</x:v>
      </x:c>
      <x:c r="G7" s="20" t="n">
        <x:v>63.865686274509805</x:v>
      </x:c>
      <x:c r="H7" s="20" t="n">
        <x:v>0.6945894487946839</x:v>
      </x:c>
    </x:row>
    <x:row r="11" ht="32" customHeight="1">
      <x:c r="A11" s="13" t="str">
        <x:v>Area</x:v>
      </x:c>
      <x:c r="B11" s="13" t="str">
        <x:v>Status</x:v>
      </x:c>
      <x:c r="C11" s="13" t="str">
        <x:v>Finding</x:v>
      </x:c>
    </x:row>
    <x:row r="12" ht="52" customHeight="1">
      <x:c r="A12" s="16" t="str">
        <x:v>Compact completeness</x:v>
      </x:c>
      <x:c r="B12" s="16" t="str">
        <x:v>PASS</x:v>
      </x:c>
      <x:c r="C12" s="16" t="str">
        <x:v>All 28 Compact texts complete a recognisable argument, event, request, notice or clause.</x:v>
      </x:c>
    </x:row>
    <x:row r="13" ht="52" customHeight="1">
      <x:c r="A13" s="16" t="str">
        <x:v>Standard pacing</x:v>
      </x:c>
      <x:c r="B13" s="16" t="str">
        <x:v>PASS</x:v>
      </x:c>
      <x:c r="C13" s="16" t="str">
        <x:v>78 texts remain inside 200–320 words; paragraph progression is varied.</x:v>
      </x:c>
    </x:row>
    <x:row r="14" ht="52" customHeight="1">
      <x:c r="A14" s="16" t="str">
        <x:v>Extended padding</x:v>
      </x:c>
      <x:c r="B14" s="16" t="str">
        <x:v>PASS</x:v>
      </x:c>
      <x:c r="C14" s="16" t="str">
        <x:v>34 texts range 350–434 words; no repeated filler scaffold was found.</x:v>
      </x:c>
    </x:row>
    <x:row r="15" ht="52" customHeight="1">
      <x:c r="A15" s="16" t="str">
        <x:v>Numeric fatigue</x:v>
      </x:c>
      <x:c r="B15" s="16" t="str">
        <x:v>NON-BLOCKING</x:v>
      </x:c>
      <x:c r="C15" s="16" t="str">
        <x:v>LEG-020 (15), LEG-016 (14), ART-013 (12), NEW-016/BUS-012 (10) are authentic but concentrated.</x:v>
      </x:c>
    </x:row>
    <x:row r="16" ht="52" customHeight="1">
      <x:c r="A16" s="16" t="str">
        <x:v>Special typography</x:v>
      </x:c>
      <x:c r="B16" s="16" t="str">
        <x:v>PASS</x:v>
      </x:c>
      <x:c r="C16" s="16" t="str">
        <x:v>No em dash or en dash remains in approved passage prose.</x:v>
      </x:c>
    </x:row>
    <x:row r="17" ht="52" customHeight="1">
      <x:c r="A17" s="16" t="str">
        <x:v>Straight punctuation</x:v>
      </x:c>
      <x:c r="B17" s="16" t="str">
        <x:v>PASS</x:v>
      </x:c>
      <x:c r="C17" s="16" t="str">
        <x:v>No curly quotes/apostrophes or ellipsis character; straight single quotation marks are consistent.</x:v>
      </x:c>
    </x:row>
    <x:row r="18" ht="52" customHeight="1">
      <x:c r="A18" s="16" t="str">
        <x:v>Relative time</x:v>
      </x:c>
      <x:c r="B18" s="16" t="str">
        <x:v>PASS WITH DOCUMENTED EXEMPTION</x:v>
      </x:c>
      <x:c r="C18" s="16" t="str">
        <x:v>ART-001, PER-013, BUS-007 and BUS-017 now use durable anchors; PER-003 remains unchanged as an approved Personal-writing exemption.</x:v>
      </x:c>
    </x:row>
    <x:row r="21" ht="32" customHeight="1">
      <x:c r="A21" s="13" t="str">
        <x:v>Brief ID</x:v>
      </x:c>
      <x:c r="B21" s="13" t="str">
        <x:v>Title</x:v>
      </x:c>
      <x:c r="C21" s="13" t="str">
        <x:v>Numerals</x:v>
      </x:c>
      <x:c r="D21" s="13" t="str">
        <x:v>Punctuation / 100</x:v>
      </x:c>
      <x:c r="E21" s="13" t="str">
        <x:v>Longest sentence</x:v>
      </x:c>
      <x:c r="F21" s="13" t="str">
        <x:v>Current difficulty</x:v>
      </x:c>
    </x:row>
    <x:row r="22" ht="34" customHeight="1">
      <x:c r="A22" s="16" t="str">
        <x:v>ECV2-LEG-020</x:v>
      </x:c>
      <x:c r="B22" s="16" t="str">
        <x:v>Notice of Venue Cancellation and Damage Charge</x:v>
      </x:c>
      <x:c r="C22" s="16" t="n">
        <x:v>15</x:v>
      </x:c>
      <x:c r="D22" s="20" t="n">
        <x:v>1.2048192771084338</x:v>
      </x:c>
      <x:c r="E22" s="16" t="n">
        <x:v>28</x:v>
      </x:c>
      <x:c r="F22" s="16" t="str">
        <x:v>Core</x:v>
      </x:c>
    </x:row>
    <x:row r="23" ht="34" customHeight="1">
      <x:c r="A23" s="16" t="str">
        <x:v>ECV2-LEG-016</x:v>
      </x:c>
      <x:c r="B23" s="16" t="str">
        <x:v>Notice of Revised Public-Service Opening Hours</x:v>
      </x:c>
      <x:c r="C23" s="16" t="n">
        <x:v>14</x:v>
      </x:c>
      <x:c r="D23" s="20" t="n">
        <x:v>3.864734299516908</x:v>
      </x:c>
      <x:c r="E23" s="16" t="n">
        <x:v>37</x:v>
      </x:c>
      <x:c r="F23" s="16" t="str">
        <x:v>Accessible</x:v>
      </x:c>
    </x:row>
    <x:row r="24" ht="34" customHeight="1">
      <x:c r="A24" s="16" t="str">
        <x:v>ECV2-ART-013</x:v>
      </x:c>
      <x:c r="B24" s="16" t="str">
        <x:v>When the Rate Changes Midway</x:v>
      </x:c>
      <x:c r="C24" s="16" t="n">
        <x:v>12</x:v>
      </x:c>
      <x:c r="D24" s="20" t="n">
        <x:v>1.2711864406779663</x:v>
      </x:c>
      <x:c r="E24" s="16" t="n">
        <x:v>35</x:v>
      </x:c>
      <x:c r="F24" s="16" t="str">
        <x:v>Accessible</x:v>
      </x:c>
    </x:row>
    <x:row r="25" ht="34" customHeight="1">
      <x:c r="A25" s="16" t="str">
        <x:v>ECV2-NEW-009</x:v>
      </x:c>
      <x:c r="B25" s="16" t="str">
        <x:v>Districts Open Heat Shelters Under New Summer Plan</x:v>
      </x:c>
      <x:c r="C25" s="16" t="n">
        <x:v>11</x:v>
      </x:c>
      <x:c r="D25" s="20" t="n">
        <x:v>0.966183574879227</x:v>
      </x:c>
      <x:c r="E25" s="16" t="n">
        <x:v>28</x:v>
      </x:c>
      <x:c r="F25" s="16" t="str">
        <x:v>Core</x:v>
      </x:c>
    </x:row>
    <x:row r="26" ht="34" customHeight="1">
      <x:c r="A26" s="16" t="str">
        <x:v>ECV2-NEW-016</x:v>
      </x:c>
      <x:c r="B26" s="16" t="str">
        <x:v>Weekend Registration Desks Added Before Local Poll</x:v>
      </x:c>
      <x:c r="C26" s="16" t="n">
        <x:v>10</x:v>
      </x:c>
      <x:c r="D26" s="20" t="n">
        <x:v>2.5</x:v>
      </x:c>
      <x:c r="E26" s="16" t="n">
        <x:v>33</x:v>
      </x:c>
      <x:c r="F26" s="16" t="str">
        <x:v>Accessible</x:v>
      </x:c>
    </x:row>
    <x:row r="27" ht="34" customHeight="1">
      <x:c r="A27" s="16" t="str">
        <x:v>ECV2-BUS-012</x:v>
      </x:c>
      <x:c r="B27" s="16" t="str">
        <x:v>Approval Request: Revised Delivery Cut-off</x:v>
      </x:c>
      <x:c r="C27" s="16" t="n">
        <x:v>10</x:v>
      </x:c>
      <x:c r="D27" s="20" t="n">
        <x:v>3.7209302325581395</x:v>
      </x:c>
      <x:c r="E27" s="16" t="n">
        <x:v>26</x:v>
      </x:c>
      <x:c r="F27" s="16" t="str">
        <x:v>Core</x:v>
      </x:c>
    </x:row>
    <x:row r="28" ht="34" customHeight="1">
      <x:c r="A28" s="16" t="str">
        <x:v>ECV2-NEW-011</x:v>
      </x:c>
      <x:c r="B28" s="16" t="str">
        <x:v>Rail Operator Publishes Reliability Recovery Plan</x:v>
      </x:c>
      <x:c r="C28" s="16" t="n">
        <x:v>9</x:v>
      </x:c>
      <x:c r="D28" s="20" t="n">
        <x:v>0.9345794392523363</x:v>
      </x:c>
      <x:c r="E28" s="16" t="n">
        <x:v>31</x:v>
      </x:c>
      <x:c r="F28" s="16" t="str">
        <x:v>Core</x:v>
      </x:c>
    </x:row>
    <x:row r="29" ht="34" customHeight="1">
      <x:c r="A29" s="16" t="str">
        <x:v>ECV2-GOV-008</x:v>
      </x:c>
      <x:c r="B29" s="16" t="str">
        <x:v>School Admissions Timetable for September 2027</x:v>
      </x:c>
      <x:c r="C29" s="16" t="n">
        <x:v>9</x:v>
      </x:c>
      <x:c r="D29" s="20" t="n">
        <x:v>0.9523809523809524</x:v>
      </x:c>
      <x:c r="E29" s="16" t="n">
        <x:v>42</x:v>
      </x:c>
      <x:c r="F29" s="16" t="str">
        <x:v>Accessible</x:v>
      </x:c>
    </x:row>
    <x:row r="30" ht="34" customHeight="1">
      <x:c r="A30" s="16" t="str">
        <x:v>ECV2-BUS-005</x:v>
      </x:c>
      <x:c r="B30" s="16" t="str">
        <x:v>Decision Required on Workshop Recovery Pilot</x:v>
      </x:c>
      <x:c r="C30" s="16" t="n">
        <x:v>9</x:v>
      </x:c>
      <x:c r="D30" s="20" t="n">
        <x:v>1.3605442176870748</x:v>
      </x:c>
      <x:c r="E30" s="16" t="n">
        <x:v>26</x:v>
      </x:c>
      <x:c r="F30" s="16" t="str">
        <x:v>Core</x:v>
      </x:c>
    </x:row>
    <x:row r="31" ht="34" customHeight="1">
      <x:c r="A31" s="16" t="str">
        <x:v>ECV2-GOV-016</x:v>
      </x:c>
      <x:c r="B31" s="16" t="str">
        <x:v>Complaints and Service Improvements: 2029 Summary</x:v>
      </x:c>
      <x:c r="C31" s="16" t="n">
        <x:v>9</x:v>
      </x:c>
      <x:c r="D31" s="20" t="n">
        <x:v>0.42016806722689076</x:v>
      </x:c>
      <x:c r="E31" s="16" t="n">
        <x:v>29</x:v>
      </x:c>
      <x:c r="F31" s="16" t="str">
        <x:v>Challenging</x:v>
      </x:c>
    </x:row>
    <x:row r="32" ht="34" customHeight="1">
      <x:c r="A32" s="16" t="str">
        <x:v>ECV2-BUS-007</x:v>
      </x:c>
      <x:c r="B32" s="16" t="str">
        <x:v>Decision Needed: Apprenticeship Training Budget</x:v>
      </x:c>
      <x:c r="C32" s="16" t="n">
        <x:v>8</x:v>
      </x:c>
      <x:c r="D32" s="20" t="n">
        <x:v>1.3605442176870748</x:v>
      </x:c>
      <x:c r="E32" s="16" t="n">
        <x:v>26</x:v>
      </x:c>
      <x:c r="F32" s="16" t="str">
        <x:v>Core</x:v>
      </x:c>
    </x:row>
    <x:row r="33" ht="34" customHeight="1">
      <x:c r="A33" s="16" t="str">
        <x:v>ECV2-NEW-012</x:v>
      </x:c>
      <x:c r="B33" s="16" t="str">
        <x:v>Earlier Ferry Added for Harbour Commuters</x:v>
      </x:c>
      <x:c r="C33" s="16" t="n">
        <x:v>8</x:v>
      </x:c>
      <x:c r="D33" s="20" t="n">
        <x:v>4.666666666666667</x:v>
      </x:c>
      <x:c r="E33" s="16" t="n">
        <x:v>30</x:v>
      </x:c>
      <x:c r="F33" s="16" t="str">
        <x:v>Accessible</x:v>
      </x:c>
    </x:row>
    <x:row r="34" ht="34" customHeight="1">
      <x:c r="A34" s="16" t="str">
        <x:v>ECV2-NEW-013</x:v>
      </x:c>
      <x:c r="B34" s="16" t="str">
        <x:v>Market Food-Price Growth Slows as Stall Costs Diverge</x:v>
      </x:c>
      <x:c r="C34" s="16" t="n">
        <x:v>8</x:v>
      </x:c>
      <x:c r="D34" s="20" t="n">
        <x:v>0.2801120448179272</x:v>
      </x:c>
      <x:c r="E34" s="16" t="n">
        <x:v>36</x:v>
      </x:c>
      <x:c r="F34" s="16" t="str">
        <x:v>Challenging</x:v>
      </x:c>
    </x:row>
    <x:row r="35" ht="34" customHeight="1">
      <x:c r="A35" s="16" t="str">
        <x:v>ECV2-BUS-010</x:v>
      </x:c>
      <x:c r="B35" s="16" t="str">
        <x:v>Office Energy Target Progress</x:v>
      </x:c>
      <x:c r="C35" s="16" t="n">
        <x:v>7</x:v>
      </x:c>
      <x:c r="D35" s="20" t="n">
        <x:v>0.9345794392523363</x:v>
      </x:c>
      <x:c r="E35" s="16" t="n">
        <x:v>25</x:v>
      </x:c>
      <x:c r="F35" s="16" t="str">
        <x:v>Challenging</x:v>
      </x:c>
    </x:row>
    <x:row r="36" ht="34" customHeight="1">
      <x:c r="A36" s="16" t="str">
        <x:v>ECV2-NEW-007</x:v>
      </x:c>
      <x:c r="B36" s="16" t="str">
        <x:v>Schools Pilot Broader Assessment Model</x:v>
      </x:c>
      <x:c r="C36" s="16" t="n">
        <x:v>7</x:v>
      </x:c>
      <x:c r="D36" s="20" t="n">
        <x:v>0.8163265306122449</x:v>
      </x:c>
      <x:c r="E36" s="16" t="n">
        <x:v>31</x:v>
      </x:c>
      <x:c r="F36" s="16" t="str">
        <x:v>Core</x:v>
      </x:c>
    </x:row>
    <x:row r="37" ht="34" customHeight="1">
      <x:c r="A37" s="16" t="str">
        <x:v>ECV2-NEW-017</x:v>
      </x:c>
      <x:c r="B37" s="16" t="str">
        <x:v>Carer Respite Network Begins with Four-Hour Visits</x:v>
      </x:c>
      <x:c r="C37" s="16" t="n">
        <x:v>7</x:v>
      </x:c>
      <x:c r="D37" s="20" t="n">
        <x:v>0.5194805194805194</x:v>
      </x:c>
      <x:c r="E37" s="16" t="n">
        <x:v>37</x:v>
      </x:c>
      <x:c r="F37" s="16" t="str">
        <x:v>Core</x:v>
      </x:c>
    </x:row>
    <x:row r="38" ht="34" customHeight="1">
      <x:c r="A38" s="16" t="str">
        <x:v>ECV2-NEW-006</x:v>
      </x:c>
      <x:c r="B38" s="16" t="str">
        <x:v>Routine Dental Checks Fall among Northmere Children</x:v>
      </x:c>
      <x:c r="C38" s="16" t="n">
        <x:v>7</x:v>
      </x:c>
      <x:c r="D38" s="20" t="n">
        <x:v>1.4705882352941175</x:v>
      </x:c>
      <x:c r="E38" s="16" t="n">
        <x:v>31</x:v>
      </x:c>
      <x:c r="F38" s="16" t="str">
        <x:v>Challenging</x:v>
      </x:c>
    </x:row>
    <x:row r="39" ht="34" customHeight="1">
      <x:c r="A39" s="16" t="str">
        <x:v>ECV2-BUS-018</x:v>
      </x:c>
      <x:c r="B39" s="16" t="str">
        <x:v>Volunteer Leave Handover for the Community Team</x:v>
      </x:c>
      <x:c r="C39" s="16" t="n">
        <x:v>6</x:v>
      </x:c>
      <x:c r="D39" s="20" t="n">
        <x:v>1.3953488372093024</x:v>
      </x:c>
      <x:c r="E39" s="16" t="n">
        <x:v>24</x:v>
      </x:c>
      <x:c r="F39" s="16" t="str">
        <x:v>Core</x:v>
      </x:c>
    </x:row>
    <x:row r="42" ht="32" customHeight="1">
      <x:c r="A42" s="13" t="str">
        <x:v>Brief ID</x:v>
      </x:c>
      <x:c r="B42" s="13" t="str">
        <x:v>Phrase</x:v>
      </x:c>
      <x:c r="C42" s="13" t="str">
        <x:v>Assessment</x:v>
      </x:c>
      <x:c r="D42" s="13" t="str">
        <x:v>Required action</x:v>
      </x:c>
    </x:row>
    <x:row r="43" ht="50" customHeight="1">
      <x:c r="A43" s="16" t="str">
        <x:v>ECV2-ART-001</x:v>
      </x:c>
      <x:c r="B43" s="16" t="str">
        <x:v>14 May 2030 handover exercise</x:v>
      </x:c>
      <x:c r="C43" s="16" t="str">
        <x:v>Durable event anchor</x:v>
      </x:c>
      <x:c r="D43" s="16" t="str">
        <x:v>PASS</x:v>
      </x:c>
    </x:row>
    <x:row r="44" ht="50" customHeight="1">
      <x:c r="A44" s="16" t="str">
        <x:v>ECV2-PER-003</x:v>
      </x:c>
      <x:c r="B44" s="16" t="str">
        <x:v>Tomorrow morning</x:v>
      </x:c>
      <x:c r="C44" s="16" t="str">
        <x:v>Genre-natural first-person intention</x:v>
      </x:c>
      <x:c r="D44" s="16" t="str">
        <x:v>APPROVED MANUAL EXEMPTION — unchanged</x:v>
      </x:c>
    </x:row>
    <x:row r="45" ht="50" customHeight="1">
      <x:c r="A45" s="16" t="str">
        <x:v>ECV2-PER-013</x:v>
      </x:c>
      <x:c r="B45" s="16" t="str">
        <x:v>next billing cycle</x:v>
      </x:c>
      <x:c r="C45" s="16" t="str">
        <x:v>Durable correspondence anchor</x:v>
      </x:c>
      <x:c r="D45" s="16" t="str">
        <x:v>PASS</x:v>
      </x:c>
    </x:row>
    <x:row r="46" ht="50" customHeight="1">
      <x:c r="A46" s="16" t="str">
        <x:v>ECV2-BUS-007</x:v>
      </x:c>
      <x:c r="B46" s="16" t="str">
        <x:v>3–8 June 2029 decision window</x:v>
      </x:c>
      <x:c r="C46" s="16" t="str">
        <x:v>Fixed message and expiry dates</x:v>
      </x:c>
      <x:c r="D46" s="16" t="str">
        <x:v>PASS</x:v>
      </x:c>
    </x:row>
    <x:row r="47" ht="50" customHeight="1">
      <x:c r="A47" s="16" t="str">
        <x:v>ECV2-BUS-017</x:v>
      </x:c>
      <x:c r="B47" s="16" t="str">
        <x:v>12 and 26 August 2030 rota context</x:v>
      </x:c>
      <x:c r="C47" s="16" t="str">
        <x:v>Fixed request date and rota period</x:v>
      </x:c>
      <x:c r="D47" s="16" t="str"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52" hidden="0" customWidth="1"/>
    <x:col min="3" max="3" width="100" hidden="0" customWidth="1"/>
  </x:cols>
  <x:sheetData>
    <x:row r="1" ht="36" customHeight="1">
      <x:c r="A1" s="3" t="str">
        <x:v>British-English consistency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Spelling, grammar choice, date/time, currency and quotation conventions across all 140 texts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Convention</x:v>
      </x:c>
      <x:c r="B4" s="13" t="str">
        <x:v>Observed</x:v>
      </x:c>
      <x:c r="C4" s="13" t="str">
        <x:v>Status / finding</x:v>
      </x:c>
    </x:row>
    <x:row r="5" ht="46" customHeight="1">
      <x:c r="A5" s="16" t="str">
        <x:v>-ise family</x:v>
      </x:c>
      <x:c r="B5" s="16" t="str">
        <x:v>PASS</x:v>
      </x:c>
      <x:c r="C5" s="16" t="str">
        <x:v>No organise/recognise/analyse inconsistency or American -ize family detected.</x:v>
      </x:c>
    </x:row>
    <x:row r="6" ht="46" customHeight="1">
      <x:c r="A6" s="16" t="str">
        <x:v>colour / centre / labour / neighbourhood</x:v>
      </x:c>
      <x:c r="B6" s="16" t="str">
        <x:v>PASS</x:v>
      </x:c>
      <x:c r="C6" s="16" t="str">
        <x:v>No American -or/-er variants detected.</x:v>
      </x:c>
    </x:row>
    <x:row r="7" ht="46" customHeight="1">
      <x:c r="A7" s="16" t="str">
        <x:v>travelling / labelled / cancelled</x:v>
      </x:c>
      <x:c r="B7" s="16" t="str">
        <x:v>PASS</x:v>
      </x:c>
      <x:c r="C7" s="16" t="str">
        <x:v>No single-l American variants detected.</x:v>
      </x:c>
    </x:row>
    <x:row r="8" ht="46" customHeight="1">
      <x:c r="A8" s="16" t="str">
        <x:v>programme / program</x:v>
      </x:c>
      <x:c r="B8" s="16" t="str">
        <x:v>PASS</x:v>
      </x:c>
      <x:c r="C8" s="16" t="str">
        <x:v>No American ‘program’ occurrence.</x:v>
      </x:c>
    </x:row>
    <x:row r="9" ht="46" customHeight="1">
      <x:c r="A9" s="16" t="str">
        <x:v>practice / practise</x:v>
      </x:c>
      <x:c r="B9" s="16" t="str">
        <x:v>PASS</x:v>
      </x:c>
      <x:c r="C9" s="16" t="str">
        <x:v>All detected ‘practice’ forms are nouns; no incorrect verb form found.</x:v>
      </x:c>
    </x:row>
    <x:row r="10" ht="46" customHeight="1">
      <x:c r="A10" s="16" t="str">
        <x:v>licence / license</x:v>
      </x:c>
      <x:c r="B10" s="16" t="str">
        <x:v>PASS</x:v>
      </x:c>
      <x:c r="C10" s="16" t="str">
        <x:v>‘licensed premises’ is the correct verb-derived adjective.</x:v>
      </x:c>
    </x:row>
    <x:row r="11" ht="46" customHeight="1">
      <x:c r="A11" s="16" t="str">
        <x:v>defence / offence</x:v>
      </x:c>
      <x:c r="B11" s="16" t="str">
        <x:v>PASS</x:v>
      </x:c>
      <x:c r="C11" s="16" t="str">
        <x:v>No inconsistent American spellings found.</x:v>
      </x:c>
    </x:row>
    <x:row r="12" ht="46" customHeight="1">
      <x:c r="A12" s="16" t="str">
        <x:v>Dates</x:v>
      </x:c>
      <x:c r="B12" s="16" t="str">
        <x:v>92 day–month; 0 month–day</x:v>
      </x:c>
      <x:c r="C12" s="16" t="str">
        <x:v>PASS — consistent British order</x:v>
      </x:c>
    </x:row>
    <x:row r="13" ht="46" customHeight="1">
      <x:c r="A13" s="16" t="str">
        <x:v>Times</x:v>
      </x:c>
      <x:c r="B13" s="16" t="str">
        <x:v>46 24-hour; 0 12-hour</x:v>
      </x:c>
      <x:c r="C13" s="16" t="str">
        <x:v>PASS — consistent</x:v>
      </x:c>
    </x:row>
    <x:row r="14" ht="46" customHeight="1">
      <x:c r="A14" s="16" t="str">
        <x:v>Currencies</x:v>
      </x:c>
      <x:c r="B14" s="16" t="str">
        <x:v>22 pound uses; 0 dollar uses</x:v>
      </x:c>
      <x:c r="C14" s="16" t="str">
        <x:v>PASS — no mixed currency convention</x:v>
      </x:c>
    </x:row>
    <x:row r="15" ht="46" customHeight="1">
      <x:c r="A15" s="16" t="str">
        <x:v>Quotation marks</x:v>
      </x:c>
      <x:c r="B15" s="16" t="str">
        <x:v>95 straight quoted spans; 0 curly marks</x:v>
      </x:c>
      <x:c r="C15" s="16" t="str">
        <x:v>PASS</x:v>
      </x:c>
    </x:row>
    <x:row r="16" ht="46" customHeight="1">
      <x:c r="A16" s="16" t="str">
        <x:v>Relative-time durability</x:v>
      </x:c>
      <x:c r="B16" s="16" t="str">
        <x:v>1 approved contextual occurrence</x:v>
      </x:c>
      <x:c r="C16" s="16" t="str">
        <x:v>PER-003 Personal-writing exemption only; four required revisions pass</x:v>
      </x:c>
    </x:row>
  </x:sheetData>
  <x:mergeCells>
    <x:mergeCell ref="A1:H1"/>
    <x:mergeCell ref="A2:H2"/>
  </x:mergeCells>
  <x:conditionalFormatting sqref="B5:C16">
    <x:cfRule type="containsText" dxfId="5" priority="1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68" hidden="0" customWidth="1"/>
    <x:col min="3" max="3" width="48" hidden="0" customWidth="1"/>
    <x:col min="4" max="4" width="22" hidden="0" customWidth="1"/>
    <x:col min="5" max="5" width="62" hidden="0" customWidth="1"/>
  </x:cols>
  <x:sheetData>
    <x:row r="1" ht="36" customHeight="1">
      <x:c r="A1" s="3" t="str">
        <x:v>Corpus-wide similarity and duplication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All 140 texts compared pairwise; structural review remains separate from numeric similarity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Check</x:v>
      </x:c>
      <x:c r="B4" s="13" t="str">
        <x:v>Observed</x:v>
      </x:c>
      <x:c r="C4" s="13" t="str">
        <x:v>Reference</x:v>
      </x:c>
      <x:c r="D4" s="13" t="str">
        <x:v>Status</x:v>
      </x:c>
      <x:c r="E4" s="13" t="str">
        <x:v>Evidence</x:v>
      </x:c>
    </x:row>
    <x:row r="5" ht="38" customHeight="1">
      <x:c r="A5" s="16" t="str">
        <x:v>Corpus-only maximum five-word Jaccard</x:v>
      </x:c>
      <x:c r="B5" s="27" t="n">
        <x:v>0.0029585798816568047</x:v>
      </x:c>
      <x:c r="C5" s="16" t="str">
        <x:v>≤ 0.12</x:v>
      </x:c>
      <x:c r="D5" s="16" t="str">
        <x:v>PASS</x:v>
      </x:c>
      <x:c r="E5" s="16" t="str">
        <x:v>ECV2-PER-010 ↔ ECV2-LEG-009</x:v>
      </x:c>
    </x:row>
    <x:row r="6" ht="38" customHeight="1">
      <x:c r="A6" s="16" t="str">
        <x:v>Maximum including 49 legacy texts</x:v>
      </x:c>
      <x:c r="B6" s="27" t="n">
        <x:v>0.005154639175257732</x:v>
      </x:c>
      <x:c r="C6" s="16" t="str">
        <x:v>≤ 0.12</x:v>
      </x:c>
      <x:c r="D6" s="16" t="str">
        <x:v>PASS</x:v>
      </x:c>
      <x:c r="E6" s="16" t="str">
        <x:v>No retained boilerplate family</x:v>
      </x:c>
    </x:row>
    <x:row r="7" ht="38" customHeight="1">
      <x:c r="A7" s="16" t="str">
        <x:v>Duplicate first 12 words</x:v>
      </x:c>
      <x:c r="B7" s="16" t="n">
        <x:v>0</x:v>
      </x:c>
      <x:c r="C7" s="16" t="str">
        <x:v>0</x:v>
      </x:c>
      <x:c r="D7" s="16" t="str">
        <x:v>PASS</x:v>
      </x:c>
      <x:c r="E7" s="16" t="str">
        <x:v>All openings unique</x:v>
      </x:c>
    </x:row>
    <x:row r="8" ht="38" customHeight="1">
      <x:c r="A8" s="16" t="str">
        <x:v>Exact duplicate sentences 8+</x:v>
      </x:c>
      <x:c r="B8" s="16" t="n">
        <x:v>0</x:v>
      </x:c>
      <x:c r="C8" s="16" t="str">
        <x:v>0</x:v>
      </x:c>
      <x:c r="D8" s="16" t="str">
        <x:v>PASS</x:v>
      </x:c>
      <x:c r="E8" s="16" t="str">
        <x:v>No exact sentence family</x:v>
      </x:c>
    </x:row>
    <x:row r="9" ht="38" customHeight="1">
      <x:c r="A9" s="16" t="str">
        <x:v>Functional-language exemptions</x:v>
      </x:c>
      <x:c r="B9" s="16" t="n">
        <x:v>0</x:v>
      </x:c>
      <x:c r="C9" s="16" t="str">
        <x:v>Document if needed</x:v>
      </x:c>
      <x:c r="D9" s="16" t="str">
        <x:v>PASS</x:v>
      </x:c>
      <x:c r="E9" s="16" t="str">
        <x:v>No Jaccard exemption requested</x:v>
      </x:c>
    </x:row>
    <x:row r="12" ht="32" customHeight="1">
      <x:c r="A12" s="13" t="str">
        <x:v>Passage A</x:v>
      </x:c>
      <x:c r="B12" s="13" t="str">
        <x:v>Passage B</x:v>
      </x:c>
      <x:c r="C12" s="13" t="str">
        <x:v>Categories</x:v>
      </x:c>
      <x:c r="D12" s="13" t="str">
        <x:v>Five-word Jaccard</x:v>
      </x:c>
      <x:c r="E12" s="13" t="str">
        <x:v>Risk reading</x:v>
      </x:c>
    </x:row>
    <x:row r="13" ht="44" customHeight="1">
      <x:c r="A13" s="16" t="str">
        <x:v>ECV2-PER-010 · The Summer the Watering Cans Ran Dry</x:v>
      </x:c>
      <x:c r="B13" s="16" t="str">
        <x:v>ECV2-LEG-009 · Contaminated Recycling Load Reporting Procedure</x:v>
      </x:c>
      <x:c r="C13" s="16" t="str">
        <x:v>Personal writing ↔ Legal &amp; contracts</x:v>
      </x:c>
      <x:c r="D13" s="27" t="n">
        <x:v>0.0029585798816568047</x:v>
      </x:c>
      <x:c r="E13" s="16" t="str">
        <x:v>Below gate; inspect only as highest available pair</x:v>
      </x:c>
    </x:row>
    <x:row r="14" ht="44" customHeight="1">
      <x:c r="A14" s="16" t="str">
        <x:v>ECV2-LEG-001 · Workplace Safety Responsibilities</x:v>
      </x:c>
      <x:c r="B14" s="16" t="str">
        <x:v>ECV2-PRO-002 · Hybrid Onboarding for Distributed Teams</x:v>
      </x:c>
      <x:c r="C14" s="16" t="str">
        <x:v>Legal &amp; contracts ↔ Proposals &amp; tenders</x:v>
      </x:c>
      <x:c r="D14" s="27" t="n">
        <x:v>0.0026455026455026454</x:v>
      </x:c>
      <x:c r="E14" s="16" t="str">
        <x:v>Below gate; inspect only as highest available pair</x:v>
      </x:c>
    </x:row>
    <x:row r="15" ht="44" customHeight="1">
      <x:c r="A15" s="16" t="str">
        <x:v>ECV2-LEG-008 · Training Cancellations and Refund Procedure</x:v>
      </x:c>
      <x:c r="B15" s="16" t="str">
        <x:v>ECV2-PRO-002 · Hybrid Onboarding for Distributed Teams</x:v>
      </x:c>
      <x:c r="C15" s="16" t="str">
        <x:v>Legal &amp; contracts ↔ Proposals &amp; tenders</x:v>
      </x:c>
      <x:c r="D15" s="27" t="n">
        <x:v>0.0025906735751295338</x:v>
      </x:c>
      <x:c r="E15" s="16" t="str">
        <x:v>Below gate; inspect only as highest available pair</x:v>
      </x:c>
    </x:row>
    <x:row r="16" ht="44" customHeight="1">
      <x:c r="A16" s="16" t="str">
        <x:v>ECV2-LEG-012 · Booked Journey Passenger Assistance</x:v>
      </x:c>
      <x:c r="B16" s="16" t="str">
        <x:v>ECV2-LEG-018 · Change of Authorised Carer</x:v>
      </x:c>
      <x:c r="C16" s="16" t="str">
        <x:v>Legal &amp; contracts ↔ Legal &amp; contracts</x:v>
      </x:c>
      <x:c r="D16" s="27" t="n">
        <x:v>0.002506265664160401</x:v>
      </x:c>
      <x:c r="E16" s="16" t="str">
        <x:v>Below gate; inspect only as highest available pair</x:v>
      </x:c>
    </x:row>
    <x:row r="17" ht="44" customHeight="1">
      <x:c r="A17" s="16" t="str">
        <x:v>ECV2-LEG-013 · Late Payment and Disputed Invoices</x:v>
      </x:c>
      <x:c r="B17" s="16" t="str">
        <x:v>ECV2-LEG-014 · Segregation of Client Money</x:v>
      </x:c>
      <x:c r="C17" s="16" t="str">
        <x:v>Legal &amp; contracts ↔ Legal &amp; contracts</x:v>
      </x:c>
      <x:c r="D17" s="27" t="n">
        <x:v>0.002347417840375587</x:v>
      </x:c>
      <x:c r="E17" s="16" t="str">
        <x:v>Below gate; inspect only as highest available pair</x:v>
      </x:c>
    </x:row>
    <x:row r="18" ht="44" customHeight="1">
      <x:c r="A18" s="16" t="str">
        <x:v>ECV2-PER-005 · The Step I Stopped Avoiding</x:v>
      </x:c>
      <x:c r="B18" s="16" t="str">
        <x:v>ECV2-PER-008 · The Desk at the Back of Room Six</x:v>
      </x:c>
      <x:c r="C18" s="16" t="str">
        <x:v>Personal writing ↔ Personal writing</x:v>
      </x:c>
      <x:c r="D18" s="27" t="n">
        <x:v>0.002336448598130841</x:v>
      </x:c>
      <x:c r="E18" s="16" t="str">
        <x:v>Below gate; inspect only as highest available pair</x:v>
      </x:c>
    </x:row>
    <x:row r="19" ht="44" customHeight="1">
      <x:c r="A19" s="16" t="str">
        <x:v>ECV2-BUS-011 · Revised Warehouse Entrance for Client Collections</x:v>
      </x:c>
      <x:c r="B19" s="16" t="str">
        <x:v>ECV2-BUS-008 · Regional Induction Programme Handover</x:v>
      </x:c>
      <x:c r="C19" s="16" t="str">
        <x:v>Business communication ↔ Business communication</x:v>
      </x:c>
      <x:c r="D19" s="27" t="n">
        <x:v>0.0023094688221709007</x:v>
      </x:c>
      <x:c r="E19" s="16" t="str">
        <x:v>Below gate; inspect only as highest available pair</x:v>
      </x:c>
    </x:row>
    <x:row r="20" ht="44" customHeight="1">
      <x:c r="A20" s="16" t="str">
        <x:v>ECV2-LEG-013 · Late Payment and Disputed Invoices</x:v>
      </x:c>
      <x:c r="B20" s="16" t="str">
        <x:v>ECV2-LEG-020 · Notice of Venue Cancellation and Damage Charge</x:v>
      </x:c>
      <x:c r="C20" s="16" t="str">
        <x:v>Legal &amp; contracts ↔ Legal &amp; contracts</x:v>
      </x:c>
      <x:c r="D20" s="27" t="n">
        <x:v>0.0022624434389140274</x:v>
      </x:c>
      <x:c r="E20" s="16" t="str">
        <x:v>Below gate; inspect only as highest available pair</x:v>
      </x:c>
    </x:row>
    <x:row r="21" ht="44" customHeight="1">
      <x:c r="A21" s="16" t="str">
        <x:v>ECV2-PRO-007 · Workforce Reskilling Partnership</x:v>
      </x:c>
      <x:c r="B21" s="16" t="str">
        <x:v>ECV2-LEG-009 · Contaminated Recycling Load Reporting Procedure</x:v>
      </x:c>
      <x:c r="C21" s="16" t="str">
        <x:v>Proposals &amp; tenders ↔ Legal &amp; contracts</x:v>
      </x:c>
      <x:c r="D21" s="27" t="n">
        <x:v>0.0019305019305019305</x:v>
      </x:c>
      <x:c r="E21" s="16" t="str">
        <x:v>Below gate; inspect only as highest available pair</x:v>
      </x:c>
    </x:row>
    <x:row r="22" ht="44" customHeight="1">
      <x:c r="A22" s="16" t="str">
        <x:v>ECV2-PRO-007 · Workforce Reskilling Partnership</x:v>
      </x:c>
      <x:c r="B22" s="16" t="str">
        <x:v>ECV2-PER-010 · The Summer the Watering Cans Ran Dry</x:v>
      </x:c>
      <x:c r="C22" s="16" t="str">
        <x:v>Proposals &amp; tenders ↔ Personal writing</x:v>
      </x:c>
      <x:c r="D22" s="27" t="n">
        <x:v>0.0018484288354898336</x:v>
      </x:c>
      <x:c r="E22" s="16" t="str">
        <x:v>Below gate; inspect only as highest available pair</x:v>
      </x:c>
    </x:row>
    <x:row r="23" ht="44" customHeight="1">
      <x:c r="A23" s="16" t="str">
        <x:v>ECV2-GOV-009 · Responsible Land Use for a Dense City</x:v>
      </x:c>
      <x:c r="B23" s="16" t="str">
        <x:v>ECV2-BUS-010 · Office Energy Target Progress</x:v>
      </x:c>
      <x:c r="C23" s="16" t="str">
        <x:v>Government &amp; public information ↔ Business communication</x:v>
      </x:c>
      <x:c r="D23" s="27" t="n">
        <x:v>0.0018018018018018018</x:v>
      </x:c>
      <x:c r="E23" s="16" t="str">
        <x:v>Below gate; inspect only as highest available pair</x:v>
      </x:c>
    </x:row>
    <x:row r="24" ht="44" customHeight="1">
      <x:c r="A24" s="16" t="str">
        <x:v>ECV2-PRO-008 · Adult Numeracy Workshops in Local Libraries</x:v>
      </x:c>
      <x:c r="B24" s="16" t="str">
        <x:v>ECV2-PRO-010 · Residential Energy Retrofit Programme</x:v>
      </x:c>
      <x:c r="C24" s="16" t="str">
        <x:v>Proposals &amp; tenders ↔ Proposals &amp; tenders</x:v>
      </x:c>
      <x:c r="D24" s="27" t="n">
        <x:v>0.0016260162601626016</x:v>
      </x:c>
      <x:c r="E24" s="16" t="str">
        <x:v>Below gate; inspect only as highest available pair</x:v>
      </x:c>
    </x:row>
    <x:row r="25" ht="44" customHeight="1">
      <x:c r="A25" s="16" t="str">
        <x:v>ECV2-PER-001 · Working From Home Without Living at Work</x:v>
      </x:c>
      <x:c r="B25" s="16" t="str">
        <x:v>ECV2-PRO-005 · Community Health Outreach Proposal</x:v>
      </x:c>
      <x:c r="C25" s="16" t="str">
        <x:v>Personal writing ↔ Proposals &amp; tenders</x:v>
      </x:c>
      <x:c r="D25" s="27" t="n">
        <x:v>0.0015082956259426848</x:v>
      </x:c>
      <x:c r="E25" s="16" t="str">
        <x:v>Below gate; inspect only as highest available pair</x:v>
      </x:c>
    </x:row>
    <x:row r="26" ht="44" customHeight="1">
      <x:c r="A26" s="16" t="str">
        <x:v>ECV2-PRO-017 · Weekend Respite with a Reliable Return Home</x:v>
      </x:c>
      <x:c r="B26" s="16" t="str">
        <x:v>ECV2-LEG-006 · Missed Home-Care Visit Service Levels and Remedies</x:v>
      </x:c>
      <x:c r="C26" s="16" t="str">
        <x:v>Proposals &amp; tenders ↔ Legal &amp; contracts</x:v>
      </x:c>
      <x:c r="D26" s="27" t="n">
        <x:v>0.0014947683109118087</x:v>
      </x:c>
      <x:c r="E26" s="16" t="str">
        <x:v>Below gate; inspect only as highest available pair</x:v>
      </x:c>
    </x:row>
    <x:row r="27" ht="44" customHeight="1">
      <x:c r="A27" s="16" t="str">
        <x:v>ECV2-LEG-010 · Environmental Performance Remedy Schedule</x:v>
      </x:c>
      <x:c r="B27" s="16" t="str">
        <x:v>ECV2-LEG-004 · Responsible Artificial Intelligence Procurement Terms</x:v>
      </x:c>
      <x:c r="C27" s="16" t="str">
        <x:v>Legal &amp; contracts ↔ Legal &amp; contracts</x:v>
      </x:c>
      <x:c r="D27" s="27" t="n">
        <x:v>0.0014005602240896359</x:v>
      </x:c>
      <x:c r="E27" s="16" t="str">
        <x:v>Below gate; inspect only as highest available pair</x:v>
      </x:c>
    </x:row>
    <x:row r="28" ht="44" customHeight="1">
      <x:c r="A28" s="16" t="str">
        <x:v>ECV2-PRO-003 · Integrated Transport Data Platform</x:v>
      </x:c>
      <x:c r="B28" s="16" t="str">
        <x:v>ECV2-ART-019 · The Empty Case in Gallery Four</x:v>
      </x:c>
      <x:c r="C28" s="16" t="str">
        <x:v>Proposals &amp; tenders ↔ Articles</x:v>
      </x:c>
      <x:c r="D28" s="27" t="n">
        <x:v>0.001394700139470014</x:v>
      </x:c>
      <x:c r="E28" s="16" t="str">
        <x:v>Below gate; inspect only as highest available pair</x:v>
      </x:c>
    </x:row>
    <x:row r="29" ht="44" customHeight="1">
      <x:c r="A29" s="16" t="str">
        <x:v>ECV2-LEG-003 · Data Processing and Confidentiality Schedule</x:v>
      </x:c>
      <x:c r="B29" s="16" t="str">
        <x:v>ECV2-LEG-004 · Responsible Artificial Intelligence Procurement Terms</x:v>
      </x:c>
      <x:c r="C29" s="16" t="str">
        <x:v>Legal &amp; contracts ↔ Legal &amp; contracts</x:v>
      </x:c>
      <x:c r="D29" s="27" t="n">
        <x:v>0.001392757660167131</x:v>
      </x:c>
      <x:c r="E29" s="16" t="str">
        <x:v>Below gate; inspect only as highest available pair</x:v>
      </x:c>
    </x:row>
    <x:row r="30" ht="44" customHeight="1">
      <x:c r="A30" s="16" t="str">
        <x:v>ECV2-ART-015 · Inside the Room Where Comments Become Choices</x:v>
      </x:c>
      <x:c r="B30" s="16" t="str">
        <x:v>ECV2-ART-010 · The Shade That Stops at the Kerb</x:v>
      </x:c>
      <x:c r="C30" s="16" t="str">
        <x:v>Articles ↔ Articles</x:v>
      </x:c>
      <x:c r="D30" s="27" t="n">
        <x:v>0.001326259946949602</x:v>
      </x:c>
      <x:c r="E30" s="16" t="str">
        <x:v>Below gate; inspect only as highest available pair</x:v>
      </x:c>
    </x:row>
    <x:row r="31" ht="44" customHeight="1">
      <x:c r="A31" s="16" t="str">
        <x:v>ECV2-PER-017 · Sharing Care for an Older Parent</x:v>
      </x:c>
      <x:c r="B31" s="16" t="str">
        <x:v>ECV2-BUS-015 · A Constructive Response to Public Consultation</x:v>
      </x:c>
      <x:c r="C31" s="16" t="str">
        <x:v>Personal writing ↔ Business communication</x:v>
      </x:c>
      <x:c r="D31" s="27" t="n">
        <x:v>0.0013123359580052493</x:v>
      </x:c>
      <x:c r="E31" s="16" t="str">
        <x:v>Below gate; inspect only as highest available pair</x:v>
      </x:c>
    </x:row>
    <x:row r="32" ht="44" customHeight="1">
      <x:c r="A32" s="16" t="str">
        <x:v>ECV2-ART-001 · When the Folder Is Not the Handover</x:v>
      </x:c>
      <x:c r="B32" s="16" t="str">
        <x:v>ECV2-ART-011 · The Minutes a Bus Does Not Move</x:v>
      </x:c>
      <x:c r="C32" s="16" t="str">
        <x:v>Articles ↔ Articles</x:v>
      </x:c>
      <x:c r="D32" s="27" t="n">
        <x:v>0</x:v>
      </x:c>
      <x:c r="E32" s="16" t="str">
        <x:v>Below gate; inspect only as highest available pair</x:v>
      </x:c>
    </x:row>
    <x:row r="33" ht="44" customHeight="1">
      <x:c r="A33" s="16" t="str">
        <x:v>ECV2-ART-001 · When the Folder Is Not the Handover</x:v>
      </x:c>
      <x:c r="B33" s="16" t="str">
        <x:v>ECV2-PER-003 · Finding a Better Digital Balance</x:v>
      </x:c>
      <x:c r="C33" s="16" t="str">
        <x:v>Articles ↔ Personal writing</x:v>
      </x:c>
      <x:c r="D33" s="27" t="n">
        <x:v>0</x:v>
      </x:c>
      <x:c r="E33" s="16" t="str">
        <x:v>Below gate; inspect only as highest available pair</x:v>
      </x:c>
    </x:row>
    <x:row r="34" ht="44" customHeight="1">
      <x:c r="A34" s="16" t="str">
        <x:v>ECV2-ART-001 · When the Folder Is Not the Handover</x:v>
      </x:c>
      <x:c r="B34" s="16" t="str">
        <x:v>ECV2-PER-013 · A Fairer Way to Share the Bills</x:v>
      </x:c>
      <x:c r="C34" s="16" t="str">
        <x:v>Articles ↔ Personal writing</x:v>
      </x:c>
      <x:c r="D34" s="27" t="n">
        <x:v>0</x:v>
      </x:c>
      <x:c r="E34" s="16" t="str">
        <x:v>Below gate; inspect only as highest available pair</x:v>
      </x:c>
    </x:row>
    <x:row r="35" ht="44" customHeight="1">
      <x:c r="A35" s="16" t="str">
        <x:v>ECV2-ART-001 · When the Folder Is Not the Handover</x:v>
      </x:c>
      <x:c r="B35" s="16" t="str">
        <x:v>ECV2-NEW-005 · Clinics Add Evening Vaccination Appointments</x:v>
      </x:c>
      <x:c r="C35" s="16" t="str">
        <x:v>Articles ↔ News</x:v>
      </x:c>
      <x:c r="D35" s="27" t="n">
        <x:v>0</x:v>
      </x:c>
      <x:c r="E35" s="16" t="str">
        <x:v>Below gate; inspect only as highest available pair</x:v>
      </x:c>
    </x:row>
    <x:row r="36" ht="44" customHeight="1">
      <x:c r="A36" s="16" t="str">
        <x:v>ECV2-ART-001 · When the Folder Is Not the Handover</x:v>
      </x:c>
      <x:c r="B36" s="16" t="str">
        <x:v>ECV2-NEW-015 · Civic Centre Reopens with Step-Free Public Route</x:v>
      </x:c>
      <x:c r="C36" s="16" t="str">
        <x:v>Articles ↔ News</x:v>
      </x:c>
      <x:c r="D36" s="27" t="n">
        <x:v>0</x:v>
      </x:c>
      <x:c r="E36" s="16" t="str">
        <x:v>Below gate; inspect only as highest available pair</x:v>
      </x:c>
    </x:row>
    <x:row r="37" ht="44" customHeight="1">
      <x:c r="A37" s="16" t="str">
        <x:v>ECV2-ART-001 · When the Folder Is Not the Handover</x:v>
      </x:c>
      <x:c r="B37" s="16" t="str">
        <x:v>ECV2-BUS-007 · Decision Needed: Apprenticeship Training Budget</x:v>
      </x:c>
      <x:c r="C37" s="16" t="str">
        <x:v>Articles ↔ Business communication</x:v>
      </x:c>
      <x:c r="D37" s="27" t="n">
        <x:v>0</x:v>
      </x:c>
      <x:c r="E37" s="16" t="str">
        <x:v>Below gate; inspect only as highest available pair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58" hidden="0" customWidth="1"/>
    <x:col min="3" max="3" width="22" hidden="0" customWidth="1"/>
    <x:col min="4" max="4" width="82" hidden="0" customWidth="1"/>
    <x:col min="5" max="5" width="22" hidden="0" customWidth="1"/>
    <x:col min="6" max="6" width="38" hidden="0" customWidth="1"/>
    <x:col min="7" max="7" width="24" hidden="0" customWidth="1"/>
  </x:cols>
  <x:sheetData>
    <x:row r="1" ht="36" customHeight="1">
      <x:c r="A1" s="3" t="str">
        <x:v>Legacy 49-passage disposition verification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Passage-specific manifest dispositions are authoritative before any generic legacy-category compatibility mapping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Existing ID</x:v>
      </x:c>
      <x:c r="B4" s="13" t="str">
        <x:v>Existing title</x:v>
      </x:c>
      <x:c r="C4" s="13" t="str">
        <x:v>Old category</x:v>
      </x:c>
      <x:c r="D4" s="13" t="str">
        <x:v>Disposition</x:v>
      </x:c>
      <x:c r="E4" s="13" t="str">
        <x:v>V2 Brief ID</x:v>
      </x:c>
      <x:c r="F4" s="13" t="str">
        <x:v>V2 category</x:v>
      </x:c>
      <x:c r="G4" s="13" t="str">
        <x:v>ID stability</x:v>
      </x:c>
    </x:row>
    <x:row r="5" ht="38" customHeight="1">
      <x:c r="A5" s="16" t="str">
        <x:v>ba0f8790-0f76-4f5e-b8a5-da982790ef5c</x:v>
      </x:c>
      <x:c r="B5" s="16" t="str">
        <x:v>Finding a Better Digital Balance</x:v>
      </x:c>
      <x:c r="C5" s="16" t="str">
        <x:v>Casual writing</x:v>
      </x:c>
      <x:c r="D5" s="16" t="str">
        <x:v>Rewrite completely</x:v>
      </x:c>
      <x:c r="E5" s="16" t="str">
        <x:v>ECV2-PER-003</x:v>
      </x:c>
      <x:c r="F5" s="16" t="str">
        <x:v>Personal writing</x:v>
      </x:c>
      <x:c r="G5" s="16" t="str">
        <x:v>UPDATE IN PLACE</x:v>
      </x:c>
    </x:row>
    <x:row r="6" ht="38" customHeight="1">
      <x:c r="A6" s="16" t="str">
        <x:v>fd2dd1c5-a220-4e9b-955a-7e7d1588ec56</x:v>
      </x:c>
      <x:c r="B6" s="16" t="str">
        <x:v>Responsible Land Use for a Dense City</x:v>
      </x:c>
      <x:c r="C6" s="16" t="str">
        <x:v>Government / formal English</x:v>
      </x:c>
      <x:c r="D6" s="16" t="str">
        <x:v>Rewrite completely</x:v>
      </x:c>
      <x:c r="E6" s="16" t="str">
        <x:v>ECV2-GOV-009</x:v>
      </x:c>
      <x:c r="F6" s="16" t="str">
        <x:v>Government &amp; public information</x:v>
      </x:c>
      <x:c r="G6" s="16" t="str">
        <x:v>UPDATE IN PLACE</x:v>
      </x:c>
    </x:row>
    <x:row r="7" ht="38" customHeight="1">
      <x:c r="A7" s="16" t="str">
        <x:v>70c4aca3-fe8f-4c24-b8bb-6a712f07b3db</x:v>
      </x:c>
      <x:c r="B7" s="16" t="str">
        <x:v>Designing a Reliable Process</x:v>
      </x:c>
      <x:c r="C7" s="16" t="str">
        <x:v>Tender / proposal writing</x:v>
      </x:c>
      <x:c r="D7" s="16" t="str">
        <x:v>Expand</x:v>
      </x:c>
      <x:c r="E7" s="16" t="str">
        <x:v>ECV2-PRO-001</x:v>
      </x:c>
      <x:c r="F7" s="16" t="str">
        <x:v>Proposals &amp; tenders</x:v>
      </x:c>
      <x:c r="G7" s="16" t="str">
        <x:v>UPDATE IN PLACE</x:v>
      </x:c>
    </x:row>
    <x:row r="8" ht="38" customHeight="1">
      <x:c r="A8" s="16" t="str">
        <x:v>f29ca6e3-783e-4590-bfed-f45bfe4961d5</x:v>
      </x:c>
      <x:c r="B8" s="16" t="str">
        <x:v>Data Processing and Confidentiality Schedule</x:v>
      </x:c>
      <x:c r="C8" s="16" t="str">
        <x:v>Legal / contract style</x:v>
      </x:c>
      <x:c r="D8" s="16" t="str">
        <x:v>Rewrite completely</x:v>
      </x:c>
      <x:c r="E8" s="16" t="str">
        <x:v>ECV2-LEG-003</x:v>
      </x:c>
      <x:c r="F8" s="16" t="str">
        <x:v>Legal &amp; contracts</x:v>
      </x:c>
      <x:c r="G8" s="16" t="str">
        <x:v>UPDATE IN PLACE</x:v>
      </x:c>
    </x:row>
    <x:row r="9" ht="38" customHeight="1">
      <x:c r="A9" s="16" t="str">
        <x:v>248158a6-12d4-4c29-a3fd-2f8d8468b402</x:v>
      </x:c>
      <x:c r="B9" s="16" t="str">
        <x:v>Learning to Notice Small Details</x:v>
      </x:c>
      <x:c r="C9" s="16" t="str">
        <x:v>Casual writing</x:v>
      </x:c>
      <x:c r="D9" s="16" t="str">
        <x:v>Expand</x:v>
      </x:c>
      <x:c r="E9" s="16" t="str">
        <x:v>ECV2-PER-019</x:v>
      </x:c>
      <x:c r="F9" s="16" t="str">
        <x:v>Personal writing</x:v>
      </x:c>
      <x:c r="G9" s="16" t="str">
        <x:v>UPDATE IN PLACE</x:v>
      </x:c>
    </x:row>
    <x:row r="10" ht="38" customHeight="1">
      <x:c r="A10" s="16" t="str">
        <x:v>bc9cc109-e666-4b1b-ad25-60a134a6a3ab</x:v>
      </x:c>
      <x:c r="B10" s="16" t="str">
        <x:v>Preparing Public Services for an Ageing Population</x:v>
      </x:c>
      <x:c r="C10" s="16" t="str">
        <x:v>Government / formal English</x:v>
      </x:c>
      <x:c r="D10" s="16" t="str">
        <x:v>Rewrite completely</x:v>
      </x:c>
      <x:c r="E10" s="16" t="str">
        <x:v>ECV2-GOV-005</x:v>
      </x:c>
      <x:c r="F10" s="16" t="str">
        <x:v>Government &amp; public information</x:v>
      </x:c>
      <x:c r="G10" s="16" t="str">
        <x:v>UPDATE IN PLACE</x:v>
      </x:c>
    </x:row>
    <x:row r="11" ht="38" customHeight="1">
      <x:c r="A11" s="16" t="str">
        <x:v>e90fe4d4-05f5-49b6-a492-7c836c2050eb</x:v>
      </x:c>
      <x:c r="B11" s="16" t="str">
        <x:v>Workforce Reskilling Partnership</x:v>
      </x:c>
      <x:c r="C11" s="16" t="str">
        <x:v>Tender / proposal writing</x:v>
      </x:c>
      <x:c r="D11" s="16" t="str">
        <x:v>Rewrite completely</x:v>
      </x:c>
      <x:c r="E11" s="16" t="str">
        <x:v>ECV2-PRO-007</x:v>
      </x:c>
      <x:c r="F11" s="16" t="str">
        <x:v>Proposals &amp; tenders</x:v>
      </x:c>
      <x:c r="G11" s="16" t="str">
        <x:v>UPDATE IN PLACE</x:v>
      </x:c>
    </x:row>
    <x:row r="12" ht="38" customHeight="1">
      <x:c r="A12" s="16" t="str">
        <x:v>f0add780-3d92-4dca-8c99-c19173a8b6fe</x:v>
      </x:c>
      <x:c r="B12" s="16" t="str">
        <x:v>Circular Logistics and Recycling Service</x:v>
      </x:c>
      <x:c r="C12" s="16" t="str">
        <x:v>Tender / proposal writing</x:v>
      </x:c>
      <x:c r="D12" s="16" t="str">
        <x:v>Rewrite completely</x:v>
      </x:c>
      <x:c r="E12" s="16" t="str">
        <x:v>ECV2-PRO-009</x:v>
      </x:c>
      <x:c r="F12" s="16" t="str">
        <x:v>Proposals &amp; tenders</x:v>
      </x:c>
      <x:c r="G12" s="16" t="str">
        <x:v>UPDATE IN PLACE</x:v>
      </x:c>
    </x:row>
    <x:row r="13" ht="38" customHeight="1">
      <x:c r="A13" s="16" t="str">
        <x:v>dbfc3376-f2ec-49fc-996f-7b0ce865990a</x:v>
      </x:c>
      <x:c r="B13" s="16" t="str">
        <x:v>Learning to Read Without Rushing</x:v>
      </x:c>
      <x:c r="C13" s="16" t="str">
        <x:v>Casual writing</x:v>
      </x:c>
      <x:c r="D13" s="16" t="str">
        <x:v>Rewrite completely</x:v>
      </x:c>
      <x:c r="E13" s="16" t="str">
        <x:v>ECV2-PER-007</x:v>
      </x:c>
      <x:c r="F13" s="16" t="str">
        <x:v>Personal writing</x:v>
      </x:c>
      <x:c r="G13" s="16" t="str">
        <x:v>UPDATE IN PLACE</x:v>
      </x:c>
    </x:row>
    <x:row r="14" ht="38" customHeight="1">
      <x:c r="A14" s="16" t="str">
        <x:v>3dd4d7ef-252e-4502-a683-e3c26cd6959d</x:v>
      </x:c>
      <x:c r="B14" s="16" t="str">
        <x:v>Rail Operator Publishes Reliability Recovery Plan</x:v>
      </x:c>
      <x:c r="C14" s="16" t="str">
        <x:v>News article</x:v>
      </x:c>
      <x:c r="D14" s="16" t="str">
        <x:v>Rewrite completely</x:v>
      </x:c>
      <x:c r="E14" s="16" t="str">
        <x:v>ECV2-NEW-011</x:v>
      </x:c>
      <x:c r="F14" s="16" t="str">
        <x:v>News</x:v>
      </x:c>
      <x:c r="G14" s="16" t="str">
        <x:v>UPDATE IN PLACE</x:v>
      </x:c>
    </x:row>
    <x:row r="15" ht="38" customHeight="1">
      <x:c r="A15" s="16" t="str">
        <x:v>cb49ecbe-b752-481f-8a53-b4742085bd99</x:v>
      </x:c>
      <x:c r="B15" s="16" t="str">
        <x:v>Keeping Digital Records Useful</x:v>
      </x:c>
      <x:c r="C15" s="16" t="str">
        <x:v>Government / formal English</x:v>
      </x:c>
      <x:c r="D15" s="16" t="str">
        <x:v>Expand</x:v>
      </x:c>
      <x:c r="E15" s="16" t="str">
        <x:v>ECV2-GOV-003</x:v>
      </x:c>
      <x:c r="F15" s="16" t="str">
        <x:v>Government &amp; public information</x:v>
      </x:c>
      <x:c r="G15" s="16" t="str">
        <x:v>UPDATE IN PLACE</x:v>
      </x:c>
    </x:row>
    <x:row r="16" ht="38" customHeight="1">
      <x:c r="A16" s="16" t="str">
        <x:v>682bc8fc-1d1f-4dbe-ade6-43cc84385fba</x:v>
      </x:c>
      <x:c r="B16" s="16" t="str">
        <x:v>Workplace Safety Responsibilities</x:v>
      </x:c>
      <x:c r="C16" s="16" t="str">
        <x:v>Legal / contract style</x:v>
      </x:c>
      <x:c r="D16" s="16" t="str">
        <x:v>Rewrite completely</x:v>
      </x:c>
      <x:c r="E16" s="16" t="str">
        <x:v>ECV2-LEG-001</x:v>
      </x:c>
      <x:c r="F16" s="16" t="str">
        <x:v>Legal &amp; contracts</x:v>
      </x:c>
      <x:c r="G16" s="16" t="str">
        <x:v>UPDATE IN PLACE</x:v>
      </x:c>
    </x:row>
    <x:row r="17" ht="38" customHeight="1">
      <x:c r="A17" s="16" t="str">
        <x:v>175eca7f-23d1-4da5-b7d9-538c6f20e88e</x:v>
      </x:c>
      <x:c r="B17" s="16" t="str">
        <x:v>Escalating a Service Risk Early</x:v>
      </x:c>
      <x:c r="C17" s="16" t="str">
        <x:v>Business email</x:v>
      </x:c>
      <x:c r="D17" s="16" t="str">
        <x:v>Rewrite completely</x:v>
      </x:c>
      <x:c r="E17" s="16" t="str">
        <x:v>ECV2-BUS-002</x:v>
      </x:c>
      <x:c r="F17" s="16" t="str">
        <x:v>Business communication</x:v>
      </x:c>
      <x:c r="G17" s="16" t="str">
        <x:v>UPDATE IN PLACE</x:v>
      </x:c>
    </x:row>
    <x:row r="18" ht="38" customHeight="1">
      <x:c r="A18" s="16" t="str">
        <x:v>64f6857d-fa40-4c71-87be-b133810dd9c9</x:v>
      </x:c>
      <x:c r="B18" s="16" t="str">
        <x:v>Strengthening Primary Healthcare Capacity</x:v>
      </x:c>
      <x:c r="C18" s="16" t="str">
        <x:v>Government / formal English</x:v>
      </x:c>
      <x:c r="D18" s="16" t="str">
        <x:v>Rewrite completely</x:v>
      </x:c>
      <x:c r="E18" s="16" t="str">
        <x:v>ECV2-GOV-006</x:v>
      </x:c>
      <x:c r="F18" s="16" t="str">
        <x:v>Government &amp; public information</x:v>
      </x:c>
      <x:c r="G18" s="16" t="str">
        <x:v>UPDATE IN PLACE</x:v>
      </x:c>
    </x:row>
    <x:row r="19" ht="38" customHeight="1">
      <x:c r="A19" s="16" t="str">
        <x:v>3287f915-e590-47dd-8f74-e8c16fb658c3</x:v>
      </x:c>
      <x:c r="B19" s="16" t="str">
        <x:v>A Better Public Notice</x:v>
      </x:c>
      <x:c r="C19" s="16" t="str">
        <x:v>Government / formal English</x:v>
      </x:c>
      <x:c r="D19" s="16" t="str">
        <x:v>Expand</x:v>
      </x:c>
      <x:c r="E19" s="16" t="str">
        <x:v>ECV2-GOV-015</x:v>
      </x:c>
      <x:c r="F19" s="16" t="str">
        <x:v>Government &amp; public information</x:v>
      </x:c>
      <x:c r="G19" s="16" t="str">
        <x:v>UPDATE IN PLACE</x:v>
      </x:c>
    </x:row>
    <x:row r="20" ht="38" customHeight="1">
      <x:c r="A20" s="16" t="str">
        <x:v>7cc18c21-9347-45ab-ab01-0d65a1c1cee0</x:v>
      </x:c>
      <x:c r="B20" s="16" t="str">
        <x:v>Residential Repair and Maintenance Terms</x:v>
      </x:c>
      <x:c r="C20" s="16" t="str">
        <x:v>Legal / contract style</x:v>
      </x:c>
      <x:c r="D20" s="16" t="str">
        <x:v>Rewrite completely</x:v>
      </x:c>
      <x:c r="E20" s="16" t="str">
        <x:v>ECV2-LEG-011</x:v>
      </x:c>
      <x:c r="F20" s="16" t="str">
        <x:v>Legal &amp; contracts</x:v>
      </x:c>
      <x:c r="G20" s="16" t="str">
        <x:v>UPDATE IN PLACE</x:v>
      </x:c>
    </x:row>
    <x:row r="21" ht="38" customHeight="1">
      <x:c r="A21" s="16" t="str">
        <x:v>2ccf24c0-1a68-45a8-ab81-eec10238062d</x:v>
      </x:c>
      <x:c r="B21" s="16" t="str">
        <x:v>The Morning Ferry Service</x:v>
      </x:c>
      <x:c r="C21" s="16" t="str">
        <x:v>Casual writing</x:v>
      </x:c>
      <x:c r="D21" s="16" t="str">
        <x:v>Reclassify</x:v>
      </x:c>
      <x:c r="E21" s="16" t="str">
        <x:v>ECV2-NEW-012</x:v>
      </x:c>
      <x:c r="F21" s="16" t="str">
        <x:v>News</x:v>
      </x:c>
      <x:c r="G21" s="16" t="str">
        <x:v>UPDATE IN PLACE</x:v>
      </x:c>
    </x:row>
    <x:row r="22" ht="38" customHeight="1">
      <x:c r="A22" s="16" t="str">
        <x:v>4cae241a-8af6-40b5-afa4-11d7742e1443</x:v>
      </x:c>
      <x:c r="B22" s="16" t="str">
        <x:v>A Clear Project Handover</x:v>
      </x:c>
      <x:c r="C22" s="16" t="str">
        <x:v>Business email</x:v>
      </x:c>
      <x:c r="D22" s="16" t="str">
        <x:v>Rewrite completely</x:v>
      </x:c>
      <x:c r="E22" s="16" t="str">
        <x:v>ECV2-BUS-001</x:v>
      </x:c>
      <x:c r="F22" s="16" t="str">
        <x:v>Business communication</x:v>
      </x:c>
      <x:c r="G22" s="16" t="str">
        <x:v>UPDATE IN PLACE</x:v>
      </x:c>
    </x:row>
    <x:row r="23" ht="38" customHeight="1">
      <x:c r="A23" s="16" t="str">
        <x:v>3f611bfe-c197-4708-bbbe-c58be57ff7e6</x:v>
      </x:c>
      <x:c r="B23" s="16" t="str">
        <x:v>Closing a Difficult Customer Complaint</x:v>
      </x:c>
      <x:c r="C23" s="16" t="str">
        <x:v>Business email</x:v>
      </x:c>
      <x:c r="D23" s="16" t="str">
        <x:v>Rewrite completely</x:v>
      </x:c>
      <x:c r="E23" s="16" t="str">
        <x:v>ECV2-BUS-019</x:v>
      </x:c>
      <x:c r="F23" s="16" t="str">
        <x:v>Business communication</x:v>
      </x:c>
      <x:c r="G23" s="16" t="str">
        <x:v>UPDATE IN PLACE</x:v>
      </x:c>
    </x:row>
    <x:row r="24" ht="38" customHeight="1">
      <x:c r="A24" s="16" t="str">
        <x:v>d800ba7c-e99a-420b-b141-becb16ed2c76</x:v>
      </x:c>
      <x:c r="B24" s="16" t="str">
        <x:v>A Framework for Fiscal Sustainability</x:v>
      </x:c>
      <x:c r="C24" s="16" t="str">
        <x:v>Government / formal English</x:v>
      </x:c>
      <x:c r="D24" s="16" t="str">
        <x:v>Rewrite completely</x:v>
      </x:c>
      <x:c r="E24" s="16" t="str">
        <x:v>ECV2-GOV-013</x:v>
      </x:c>
      <x:c r="F24" s="16" t="str">
        <x:v>Government &amp; public information</x:v>
      </x:c>
      <x:c r="G24" s="16" t="str">
        <x:v>UPDATE IN PLACE</x:v>
      </x:c>
    </x:row>
    <x:row r="25" ht="38" customHeight="1">
      <x:c r="A25" s="16" t="str">
        <x:v>62e392f2-7bdd-4e7c-93f7-d902b473c46d</x:v>
      </x:c>
      <x:c r="B25" s="16" t="str">
        <x:v>The Useful Pause</x:v>
      </x:c>
      <x:c r="C25" s="16" t="str">
        <x:v>Random paragraph</x:v>
      </x:c>
      <x:c r="D25" s="16" t="str">
        <x:v>Reclassify</x:v>
      </x:c>
      <x:c r="E25" s="16" t="str">
        <x:v>ECV2-ART-005</x:v>
      </x:c>
      <x:c r="F25" s="16" t="str">
        <x:v>Articles</x:v>
      </x:c>
      <x:c r="G25" s="16" t="str">
        <x:v>UPDATE IN PLACE</x:v>
      </x:c>
    </x:row>
    <x:row r="26" ht="38" customHeight="1">
      <x:c r="A26" s="16" t="str">
        <x:v>6947738b-52f4-4196-af0e-054d20d80e2f</x:v>
      </x:c>
      <x:c r="B26" s="16" t="str">
        <x:v>Sharing Care for an Older Parent</x:v>
      </x:c>
      <x:c r="C26" s="16" t="str">
        <x:v>Casual writing</x:v>
      </x:c>
      <x:c r="D26" s="16" t="str">
        <x:v>Rewrite completely</x:v>
      </x:c>
      <x:c r="E26" s="16" t="str">
        <x:v>ECV2-PER-017</x:v>
      </x:c>
      <x:c r="F26" s="16" t="str">
        <x:v>Personal writing</x:v>
      </x:c>
      <x:c r="G26" s="16" t="str">
        <x:v>UPDATE IN PLACE</x:v>
      </x:c>
    </x:row>
    <x:row r="27" ht="38" customHeight="1">
      <x:c r="A27" s="16" t="str">
        <x:v>56ab756e-b97e-44aa-8658-2c893aed52f9</x:v>
      </x:c>
      <x:c r="B27" s="16" t="str">
        <x:v>New Rules Proposed for High-Risk Artificial Intelligence</x:v>
      </x:c>
      <x:c r="C27" s="16" t="str">
        <x:v>News article</x:v>
      </x:c>
      <x:c r="D27" s="16" t="str">
        <x:v>Rewrite completely</x:v>
      </x:c>
      <x:c r="E27" s="16" t="str">
        <x:v>ECV2-NEW-003</x:v>
      </x:c>
      <x:c r="F27" s="16" t="str">
        <x:v>News</x:v>
      </x:c>
      <x:c r="G27" s="16" t="str">
        <x:v>UPDATE IN PLACE</x:v>
      </x:c>
    </x:row>
    <x:row r="28" ht="38" customHeight="1">
      <x:c r="A28" s="16" t="str">
        <x:v>9bce4cff-5c6e-4780-a9ae-78a11e57af71</x:v>
      </x:c>
      <x:c r="B28" s="16" t="str">
        <x:v>A Constructive Response to Public Consultation</x:v>
      </x:c>
      <x:c r="C28" s="16" t="str">
        <x:v>Business email</x:v>
      </x:c>
      <x:c r="D28" s="16" t="str">
        <x:v>Rewrite completely</x:v>
      </x:c>
      <x:c r="E28" s="16" t="str">
        <x:v>ECV2-BUS-015</x:v>
      </x:c>
      <x:c r="F28" s="16" t="str">
        <x:v>Business communication</x:v>
      </x:c>
      <x:c r="G28" s="16" t="str">
        <x:v>UPDATE IN PLACE</x:v>
      </x:c>
    </x:row>
    <x:row r="29" ht="38" customHeight="1">
      <x:c r="A29" s="16" t="str">
        <x:v>cab3d15c-cb20-4fa2-a6df-a096fece199e</x:v>
      </x:c>
      <x:c r="B29" s="16" t="str">
        <x:v>Why Slow Practice Works</x:v>
      </x:c>
      <x:c r="C29" s="16" t="str">
        <x:v>Random paragraph</x:v>
      </x:c>
      <x:c r="D29" s="16" t="str">
        <x:v>Reclassify</x:v>
      </x:c>
      <x:c r="E29" s="16" t="str">
        <x:v>ECV2-ART-007</x:v>
      </x:c>
      <x:c r="F29" s="16" t="str">
        <x:v>Articles</x:v>
      </x:c>
      <x:c r="G29" s="16" t="str">
        <x:v>UPDATE IN PLACE</x:v>
      </x:c>
    </x:row>
    <x:row r="30" ht="38" customHeight="1">
      <x:c r="A30" s="16" t="str">
        <x:v>20030528-60b9-475b-905d-d29ad44f3b98</x:v>
      </x:c>
      <x:c r="B30" s="16" t="str">
        <x:v>Platform Workers Seek Portable Benefits</x:v>
      </x:c>
      <x:c r="C30" s="16" t="str">
        <x:v>News article</x:v>
      </x:c>
      <x:c r="D30" s="16" t="str">
        <x:v>Rewrite completely</x:v>
      </x:c>
      <x:c r="E30" s="16" t="str">
        <x:v>ECV2-NEW-001</x:v>
      </x:c>
      <x:c r="F30" s="16" t="str">
        <x:v>News</x:v>
      </x:c>
      <x:c r="G30" s="16" t="str">
        <x:v>UPDATE IN PLACE</x:v>
      </x:c>
    </x:row>
    <x:row r="31" ht="38" customHeight="1">
      <x:c r="A31" s="16" t="str">
        <x:v>604ea509-1508-4bf6-8fdb-395928dd754a</x:v>
      </x:c>
      <x:c r="B31" s="16" t="str">
        <x:v>Integrated Transport Data Platform</x:v>
      </x:c>
      <x:c r="C31" s="16" t="str">
        <x:v>Tender / proposal writing</x:v>
      </x:c>
      <x:c r="D31" s="16" t="str">
        <x:v>Rewrite completely</x:v>
      </x:c>
      <x:c r="E31" s="16" t="str">
        <x:v>ECV2-PRO-003</x:v>
      </x:c>
      <x:c r="F31" s="16" t="str">
        <x:v>Proposals &amp; tenders</x:v>
      </x:c>
      <x:c r="G31" s="16" t="str">
        <x:v>UPDATE IN PLACE</x:v>
      </x:c>
    </x:row>
    <x:row r="32" ht="38" customHeight="1">
      <x:c r="A32" s="16" t="str">
        <x:v>ad1c394c-f3e9-493e-b3fa-a906ad7b8af7</x:v>
      </x:c>
      <x:c r="B32" s="16" t="str">
        <x:v>Service Continuity and Recovery Clause</x:v>
      </x:c>
      <x:c r="C32" s="16" t="str">
        <x:v>Legal / contract style</x:v>
      </x:c>
      <x:c r="D32" s="16" t="str">
        <x:v>Rewrite completely</x:v>
      </x:c>
      <x:c r="E32" s="16" t="str">
        <x:v>ECV2-LEG-015</x:v>
      </x:c>
      <x:c r="F32" s="16" t="str">
        <x:v>Legal &amp; contracts</x:v>
      </x:c>
      <x:c r="G32" s="16" t="str">
        <x:v>UPDATE IN PLACE</x:v>
      </x:c>
    </x:row>
    <x:row r="33" ht="38" customHeight="1">
      <x:c r="A33" s="16" t="str">
        <x:v>dd1e645f-0713-4fbc-8ff7-cf039653cfd1</x:v>
      </x:c>
      <x:c r="B33" s="16" t="str">
        <x:v>Working From Home Without Living at Work</x:v>
      </x:c>
      <x:c r="C33" s="16" t="str">
        <x:v>Casual writing</x:v>
      </x:c>
      <x:c r="D33" s="16" t="str">
        <x:v>Rewrite completely</x:v>
      </x:c>
      <x:c r="E33" s="16" t="str">
        <x:v>ECV2-PER-001</x:v>
      </x:c>
      <x:c r="F33" s="16" t="str">
        <x:v>Personal writing</x:v>
      </x:c>
      <x:c r="G33" s="16" t="str">
        <x:v>UPDATE IN PLACE</x:v>
      </x:c>
    </x:row>
    <x:row r="34" ht="38" customHeight="1">
      <x:c r="A34" s="16" t="str">
        <x:v>283bca77-6486-4a0a-92a2-9209a9c48492</x:v>
      </x:c>
      <x:c r="B34" s="16" t="str">
        <x:v>Schools Pilot Broader Assessment Model</x:v>
      </x:c>
      <x:c r="C34" s="16" t="str">
        <x:v>News article</x:v>
      </x:c>
      <x:c r="D34" s="16" t="str">
        <x:v>Rewrite completely</x:v>
      </x:c>
      <x:c r="E34" s="16" t="str">
        <x:v>ECV2-NEW-007</x:v>
      </x:c>
      <x:c r="F34" s="16" t="str">
        <x:v>News</x:v>
      </x:c>
      <x:c r="G34" s="16" t="str">
        <x:v>UPDATE IN PLACE</x:v>
      </x:c>
    </x:row>
    <x:row r="35" ht="38" customHeight="1">
      <x:c r="A35" s="16" t="str">
        <x:v>d7591888-42b6-4f9b-89cc-ed5c8ab7d3d2</x:v>
      </x:c>
      <x:c r="B35" s="16" t="str">
        <x:v>Housing Affordability and Secure Renting</x:v>
      </x:c>
      <x:c r="C35" s="16" t="str">
        <x:v>Government / formal English</x:v>
      </x:c>
      <x:c r="D35" s="16" t="str">
        <x:v>Rewrite completely</x:v>
      </x:c>
      <x:c r="E35" s="16" t="str">
        <x:v>ECV2-GOV-011</x:v>
      </x:c>
      <x:c r="F35" s="16" t="str">
        <x:v>Government &amp; public information</x:v>
      </x:c>
      <x:c r="G35" s="16" t="str">
        <x:v>UPDATE IN PLACE</x:v>
      </x:c>
    </x:row>
    <x:row r="36" ht="38" customHeight="1">
      <x:c r="A36" s="16" t="str">
        <x:v>66304766-4e1c-40e1-86c9-ba58d7029177</x:v>
      </x:c>
      <x:c r="B36" s="16" t="str">
        <x:v>Evaluating a Practical Proposal</x:v>
      </x:c>
      <x:c r="C36" s="16" t="str">
        <x:v>Tender / proposal writing</x:v>
      </x:c>
      <x:c r="D36" s="16" t="str">
        <x:v>Expand</x:v>
      </x:c>
      <x:c r="E36" s="16" t="str">
        <x:v>ECV2-PRO-015</x:v>
      </x:c>
      <x:c r="F36" s="16" t="str">
        <x:v>Proposals &amp; tenders</x:v>
      </x:c>
      <x:c r="G36" s="16" t="str">
        <x:v>UPDATE IN PLACE</x:v>
      </x:c>
    </x:row>
    <x:row r="37" ht="38" customHeight="1">
      <x:c r="A37" s="16" t="str">
        <x:v>a66bcad1-3b90-4ca0-8c8b-861987e1e11f</x:v>
      </x:c>
      <x:c r="B37" s="16" t="str">
        <x:v>Districts Open Heat Shelters Under New Summer Plan</x:v>
      </x:c>
      <x:c r="C37" s="16" t="str">
        <x:v>News article</x:v>
      </x:c>
      <x:c r="D37" s="16" t="str">
        <x:v>Rewrite completely</x:v>
      </x:c>
      <x:c r="E37" s="16" t="str">
        <x:v>ECV2-NEW-009</x:v>
      </x:c>
      <x:c r="F37" s="16" t="str">
        <x:v>News</x:v>
      </x:c>
      <x:c r="G37" s="16" t="str">
        <x:v>UPDATE IN PLACE</x:v>
      </x:c>
    </x:row>
    <x:row r="38" ht="38" customHeight="1">
      <x:c r="A38" s="16" t="str">
        <x:v>ed0e9fad-b181-4f08-bf3a-8b5c71fe6da7</x:v>
      </x:c>
      <x:c r="B38" s="16" t="str">
        <x:v>Reading Before Responding</x:v>
      </x:c>
      <x:c r="C38" s="16" t="str">
        <x:v>Business email</x:v>
      </x:c>
      <x:c r="D38" s="16" t="str">
        <x:v>Expand</x:v>
      </x:c>
      <x:c r="E38" s="16" t="str">
        <x:v>ECV2-BUS-003</x:v>
      </x:c>
      <x:c r="F38" s="16" t="str">
        <x:v>Business communication</x:v>
      </x:c>
      <x:c r="G38" s="16" t="str">
        <x:v>UPDATE IN PLACE</x:v>
      </x:c>
    </x:row>
    <x:row r="39" ht="38" customHeight="1">
      <x:c r="A39" s="16" t="str">
        <x:v>607eff87-49e0-4439-a52a-198daa10a45b</x:v>
      </x:c>
      <x:c r="B39" s="16" t="str">
        <x:v>Community Health Outreach Proposal</x:v>
      </x:c>
      <x:c r="C39" s="16" t="str">
        <x:v>Tender / proposal writing</x:v>
      </x:c>
      <x:c r="D39" s="16" t="str">
        <x:v>Rewrite completely</x:v>
      </x:c>
      <x:c r="E39" s="16" t="str">
        <x:v>ECV2-PRO-005</x:v>
      </x:c>
      <x:c r="F39" s="16" t="str">
        <x:v>Proposals &amp; tenders</x:v>
      </x:c>
      <x:c r="G39" s="16" t="str">
        <x:v>UPDATE IN PLACE</x:v>
      </x:c>
    </x:row>
    <x:row r="40" ht="38" customHeight="1">
      <x:c r="A40" s="16" t="str">
        <x:v>e176c4ce-d0fd-49d3-b576-559e398f9dda</x:v>
      </x:c>
      <x:c r="B40" s="16" t="str">
        <x:v>Responsible Artificial Intelligence Procurement Terms</x:v>
      </x:c>
      <x:c r="C40" s="16" t="str">
        <x:v>Legal / contract style</x:v>
      </x:c>
      <x:c r="D40" s="16" t="str">
        <x:v>Rewrite completely</x:v>
      </x:c>
      <x:c r="E40" s="16" t="str">
        <x:v>ECV2-LEG-004</x:v>
      </x:c>
      <x:c r="F40" s="16" t="str">
        <x:v>Legal &amp; contracts</x:v>
      </x:c>
      <x:c r="G40" s="16" t="str">
        <x:v>UPDATE IN PLACE</x:v>
      </x:c>
    </x:row>
    <x:row r="41" ht="38" customHeight="1">
      <x:c r="A41" s="16" t="str">
        <x:v>7dfb275e-86d1-4f9f-a8dd-69ee04854e3f</x:v>
      </x:c>
      <x:c r="B41" s="16" t="str">
        <x:v>What a Neighbourhood Walk Can Teach You</x:v>
      </x:c>
      <x:c r="C41" s="16" t="str">
        <x:v>Casual writing</x:v>
      </x:c>
      <x:c r="D41" s="16" t="str">
        <x:v>Rewrite completely</x:v>
      </x:c>
      <x:c r="E41" s="16" t="str">
        <x:v>ECV2-PER-011</x:v>
      </x:c>
      <x:c r="F41" s="16" t="str">
        <x:v>Personal writing</x:v>
      </x:c>
      <x:c r="G41" s="16" t="str">
        <x:v>UPDATE IN PLACE</x:v>
      </x:c>
    </x:row>
    <x:row r="42" ht="38" customHeight="1">
      <x:c r="A42" s="16" t="str">
        <x:v>a8e0bd50-a8ae-4150-80b1-ec8dd20ac14c</x:v>
      </x:c>
      <x:c r="B42" s="16" t="str">
        <x:v>A Library Open After Dark</x:v>
      </x:c>
      <x:c r="C42" s="16" t="str">
        <x:v>Random paragraph</x:v>
      </x:c>
      <x:c r="D42" s="16" t="str">
        <x:v>Reclassify</x:v>
      </x:c>
      <x:c r="E42" s="16" t="str">
        <x:v>ECV2-NEW-019</x:v>
      </x:c>
      <x:c r="F42" s="16" t="str">
        <x:v>News</x:v>
      </x:c>
      <x:c r="G42" s="16" t="str">
        <x:v>UPDATE IN PLACE</x:v>
      </x:c>
    </x:row>
    <x:row r="43" ht="38" customHeight="1">
      <x:c r="A43" s="16" t="str">
        <x:v>d9b28b43-0216-414c-b782-585602865712</x:v>
      </x:c>
      <x:c r="B43" s="16" t="str">
        <x:v>Requesting a Decision Without Creating Pressure</x:v>
      </x:c>
      <x:c r="C43" s="16" t="str">
        <x:v>Business email</x:v>
      </x:c>
      <x:c r="D43" s="16" t="str">
        <x:v>Rewrite completely</x:v>
      </x:c>
      <x:c r="E43" s="16" t="str">
        <x:v>ECV2-BUS-013</x:v>
      </x:c>
      <x:c r="F43" s="16" t="str">
        <x:v>Business communication</x:v>
      </x:c>
      <x:c r="G43" s="16" t="str">
        <x:v>UPDATE IN PLACE</x:v>
      </x:c>
    </x:row>
    <x:row r="44" ht="38" customHeight="1">
      <x:c r="A44" s="16" t="str">
        <x:v>e2beb944-f1c7-423a-b1e6-f0fef5f5a49f</x:v>
      </x:c>
      <x:c r="B44" s="16" t="str">
        <x:v>Residential Energy Retrofit Programme</x:v>
      </x:c>
      <x:c r="C44" s="16" t="str">
        <x:v>Tender / proposal writing</x:v>
      </x:c>
      <x:c r="D44" s="16" t="str">
        <x:v>Rewrite completely</x:v>
      </x:c>
      <x:c r="E44" s="16" t="str">
        <x:v>ECV2-PRO-010</x:v>
      </x:c>
      <x:c r="F44" s="16" t="str">
        <x:v>Proposals &amp; tenders</x:v>
      </x:c>
      <x:c r="G44" s="16" t="str">
        <x:v>UPDATE IN PLACE</x:v>
      </x:c>
    </x:row>
    <x:row r="47" ht="32" customHeight="1">
      <x:c r="A47" s="13" t="str">
        <x:v>Existing ID</x:v>
      </x:c>
      <x:c r="B47" s="13" t="str">
        <x:v>Existing title</x:v>
      </x:c>
      <x:c r="C47" s="13" t="str">
        <x:v>Disposition</x:v>
      </x:c>
      <x:c r="D47" s="13" t="str">
        <x:v>Reason</x:v>
      </x:c>
    </x:row>
    <x:row r="48" ht="40" customHeight="1">
      <x:c r="A48" s="16" t="str">
        <x:v>c13f0f8c-cefb-4d93-9b74-241d3229e448</x:v>
      </x:c>
      <x:c r="B48" s="16" t="str">
        <x:v>Service Continuity Clause</x:v>
      </x:c>
      <x:c r="C48" s="16" t="str">
        <x:v>Deactivate</x:v>
      </x:c>
      <x:c r="D48" s="16" t="str">
        <x:v>Near-duplicate of the retained Service Continuity and Recovery Clause</x:v>
      </x:c>
    </x:row>
    <x:row r="49" ht="40" customHeight="1">
      <x:c r="A49" s="16" t="str">
        <x:v>443f564d-7b45-4008-a0b3-6ae275ca9f9f</x:v>
      </x:c>
      <x:c r="B49" s="16" t="str">
        <x:v>The Benefits of Reading Every Day</x:v>
      </x:c>
      <x:c r="C49" s="16" t="str">
        <x:v>Deactivate</x:v>
      </x:c>
      <x:c r="D49" s="16" t="str">
        <x:v>Generic school-essay template</x:v>
      </x:c>
    </x:row>
    <x:row r="50" ht="40" customHeight="1">
      <x:c r="A50" s="16" t="str">
        <x:v>a903c9e1-356c-4204-8091-f0ad3f308f4d</x:v>
      </x:c>
      <x:c r="B50" s="16" t="str">
        <x:v>The Importance of Environmental Protection</x:v>
      </x:c>
      <x:c r="C50" s="16" t="str">
        <x:v>Deactivate</x:v>
      </x:c>
      <x:c r="D50" s="16" t="str">
        <x:v>Template essay and category mismatch</x:v>
      </x:c>
    </x:row>
    <x:row r="51" ht="40" customHeight="1">
      <x:c r="A51" s="16" t="str">
        <x:v>0179ca91-3532-45ad-97ac-ea9dae8bbc09</x:v>
      </x:c>
      <x:c r="B51" s="16" t="str">
        <x:v>The Importance of Good Communication Skills</x:v>
      </x:c>
      <x:c r="C51" s="16" t="str">
        <x:v>Deactivate</x:v>
      </x:c>
      <x:c r="D51" s="16" t="str">
        <x:v>Generic school-essay template</x:v>
      </x:c>
    </x:row>
    <x:row r="52" ht="40" customHeight="1">
      <x:c r="A52" s="16" t="str">
        <x:v>47c4994c-ef4e-47ec-9736-5e86916586cd</x:v>
      </x:c>
      <x:c r="B52" s="16" t="str">
        <x:v>The Importance of Time Management</x:v>
      </x:c>
      <x:c r="C52" s="16" t="str">
        <x:v>Deactivate</x:v>
      </x:c>
      <x:c r="D52" s="16" t="str">
        <x:v>Generic school-essay template</x:v>
      </x:c>
    </x:row>
    <x:row r="53" ht="40" customHeight="1">
      <x:c r="A53" s="16" t="str">
        <x:v>a5488771-cfb4-47c5-bec6-d71899c442aa</x:v>
      </x:c>
      <x:c r="B53" s="16" t="str">
        <x:v>The Power of Positive Thinking</x:v>
      </x:c>
      <x:c r="C53" s="16" t="str">
        <x:v>Deactivate</x:v>
      </x:c>
      <x:c r="D53" s="16" t="str">
        <x:v>Generic essay incorrectly classified as News</x:v>
      </x:c>
    </x:row>
    <x:row r="54" ht="40" customHeight="1">
      <x:c r="A54" s="16" t="str">
        <x:v>ef8eaa37-80eb-4c0e-be7d-8bbf0d9a06ae</x:v>
      </x:c>
      <x:c r="B54" s="16" t="str">
        <x:v>The Role of Technology in Modern Life</x:v>
      </x:c>
      <x:c r="C54" s="16" t="str">
        <x:v>Deactivate</x:v>
      </x:c>
      <x:c r="D54" s="16" t="str">
        <x:v>Corrupted record containing a second unrelated article</x:v>
      </x:c>
    </x:row>
    <x:row r="55" ht="40" customHeight="1">
      <x:c r="A55" s="16" t="str">
        <x:v>04c16e3c-0f9c-4d38-80c0-2edbe57e4b5d</x:v>
      </x:c>
      <x:c r="B55" s="16" t="str">
        <x:v>The Value of Saving Money</x:v>
      </x:c>
      <x:c r="C55" s="16" t="str">
        <x:v>Deactivate</x:v>
      </x:c>
      <x:c r="D55" s="16" t="str">
        <x:v>Generic school-essay template</x:v>
      </x:c>
    </x:row>
    <x:row r="56" ht="40" customHeight="1">
      <x:c r="A56" s="16" t="str">
        <x:v>f0c7ba6a-07e9-4efb-8289-845f36f6f56f</x:v>
      </x:c>
      <x:c r="B56" s="16" t="str">
        <x:v>Why Exercise Is Important for a Healthy Life</x:v>
      </x:c>
      <x:c r="C56" s="16" t="str">
        <x:v>Deactivate</x:v>
      </x:c>
      <x:c r="D56" s="16" t="str">
        <x:v>Generic school-essay template</x:v>
      </x:c>
    </x:row>
    <x:row r="59">
      <x:c r="A59" s="30" t="str">
        <x:v>Verification result: 30 Rewrite + 6 Expand + 4 Reclassify = 40 retained stable IDs; 9 Deactivate; all 49 legacy IDs accounted for. Random paragraph does not survive as a public category. Its three retained identities map passage-specifically to Articles (The Useful Pause; Why Slow Practice Works) and News (A Library Open After Dark), while five other Random paragraph records are deactivated. Generic aliases must never override these rows.</x:v>
      </x:c>
      <x:c r="B59" s="30"/>
      <x:c r="C59" s="30"/>
      <x:c r="D59" s="30"/>
      <x:c r="E59" s="30"/>
      <x:c r="F59" s="30"/>
      <x:c r="G59" s="30"/>
      <x:c r="H59" s="30"/>
    </x:row>
    <x:row r="60">
      <x:c r="A60" s="30"/>
      <x:c r="B60" s="30"/>
      <x:c r="C60" s="30"/>
      <x:c r="D60" s="30"/>
      <x:c r="E60" s="30"/>
      <x:c r="F60" s="30"/>
      <x:c r="G60" s="30"/>
      <x:c r="H60" s="30"/>
    </x:row>
    <x:row r="61">
      <x:c r="A61" s="30"/>
      <x:c r="B61" s="30"/>
      <x:c r="C61" s="30"/>
      <x:c r="D61" s="30"/>
      <x:c r="E61" s="30"/>
      <x:c r="F61" s="30"/>
      <x:c r="G61" s="30"/>
      <x:c r="H61" s="30"/>
    </x:row>
    <x:row r="62">
      <x:c r="A62" s="30"/>
      <x:c r="B62" s="30"/>
      <x:c r="C62" s="30"/>
      <x:c r="D62" s="30"/>
      <x:c r="E62" s="30"/>
      <x:c r="F62" s="30"/>
      <x:c r="G62" s="30"/>
      <x:c r="H62" s="30"/>
    </x:row>
    <x:row r="63">
      <x:c r="A63" s="30"/>
      <x:c r="B63" s="30"/>
      <x:c r="C63" s="30"/>
      <x:c r="D63" s="30"/>
      <x:c r="E63" s="30"/>
      <x:c r="F63" s="30"/>
      <x:c r="G63" s="30"/>
      <x:c r="H63" s="30"/>
    </x:row>
  </x:sheetData>
  <x:mergeCells>
    <x:mergeCell ref="A1:H1"/>
    <x:mergeCell ref="A2:H2"/>
    <x:mergeCell ref="A59:H6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84" hidden="0" customWidth="1"/>
    <x:col min="3" max="3" width="72" hidden="0" customWidth="1"/>
    <x:col min="4" max="4" width="66" hidden="0" customWidth="1"/>
  </x:cols>
  <x:sheetData>
    <x:row r="1" ht="36" customHeight="1">
      <x:c r="A1" s="3" t="str">
        <x:v>Read-only migration readiness plan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No migration or production update has been created or applied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Step</x:v>
      </x:c>
      <x:c r="B4" s="13" t="str">
        <x:v>Area</x:v>
      </x:c>
      <x:c r="C4" s="13" t="str">
        <x:v>Future migration action</x:v>
      </x:c>
      <x:c r="D4" s="13" t="str">
        <x:v>Guard</x:v>
      </x:c>
    </x:row>
    <x:row r="5" ht="60" customHeight="1">
      <x:c r="A5" s="16" t="n">
        <x:v>1</x:v>
      </x:c>
      <x:c r="B5" s="16" t="str">
        <x:v>Preflight</x:v>
      </x:c>
      <x:c r="C5" s="16" t="str">
        <x:v>Assert current production still contains the 49 expected active English IDs and titles.</x:v>
      </x:c>
      <x:c r="D5" s="16" t="str">
        <x:v>BLOCK if any identity differs</x:v>
      </x:c>
    </x:row>
    <x:row r="6" ht="60" customHeight="1">
      <x:c r="A6" s="16" t="n">
        <x:v>2</x:v>
      </x:c>
      <x:c r="B6" s="16" t="str">
        <x:v>Retained passages</x:v>
      </x:c>
      <x:c r="C6" s="16" t="str">
        <x:v>Update 40 existing IDs in place with approved title, category, style metadata retained internally, content and active/public/English flags.</x:v>
      </x:c>
      <x:c r="D6" s="16" t="str">
        <x:v>Preserves selected-passage references</x:v>
      </x:c>
    </x:row>
    <x:row r="7" ht="60" customHeight="1">
      <x:c r="A7" s="16" t="n">
        <x:v>3</x:v>
      </x:c>
      <x:c r="B7" s="16" t="str">
        <x:v>Deactivations</x:v>
      </x:c>
      <x:c r="C7" s="16" t="str">
        <x:v>Mark the 9 manifest-listed IDs inactive; do not delete them.</x:v>
      </x:c>
      <x:c r="D7" s="16" t="str">
        <x:v>Preserves history and referential integrity</x:v>
      </x:c>
    </x:row>
    <x:row r="8" ht="60" customHeight="1">
      <x:c r="A8" s="16" t="n">
        <x:v>4</x:v>
      </x:c>
      <x:c r="B8" s="16" t="str">
        <x:v>New passages</x:v>
      </x:c>
      <x:c r="C8" s="16" t="str">
        <x:v>Insert 100 new IDs with approved prose and seven public categories.</x:v>
      </x:c>
      <x:c r="D8" s="16" t="str">
        <x:v>Use deterministic migration records</x:v>
      </x:c>
    </x:row>
    <x:row r="9" ht="60" customHeight="1">
      <x:c r="A9" s="16" t="n">
        <x:v>5</x:v>
      </x:c>
      <x:c r="B9" s="16" t="str">
        <x:v>Category precedence</x:v>
      </x:c>
      <x:c r="C9" s="16" t="str">
        <x:v>Apply passage-ID-specific v2 category first; use old-category aliases only for stored-filter compatibility.</x:v>
      </x:c>
      <x:c r="D9" s="16" t="str">
        <x:v>Random paragraph never overrides A Library Open After Dark → News</x:v>
      </x:c>
    </x:row>
    <x:row r="10" ht="60" customHeight="1">
      <x:c r="A10" s="16" t="n">
        <x:v>6</x:v>
      </x:c>
      <x:c r="B10" s="16" t="str">
        <x:v>Visibility</x:v>
      </x:c>
      <x:c r="C10" s="16" t="str">
        <x:v>Set all final 140 v2 entries active, public and English; the bounded release revisions now pass.</x:v>
      </x:c>
      <x:c r="D10" s="16" t="str">
        <x:v>Verify exact 140 active set</x:v>
      </x:c>
    </x:row>
    <x:row r="11" ht="60" customHeight="1">
      <x:c r="A11" s="16" t="n">
        <x:v>7</x:v>
      </x:c>
      <x:c r="B11" s="16" t="str">
        <x:v>Stored references</x:v>
      </x:c>
      <x:c r="C11" s="16" t="str">
        <x:v>Keep retained IDs unchanged; normalise obsolete stored category filters to valid v2 categories or All without changing passage IDs.</x:v>
      </x:c>
      <x:c r="D11" s="16" t="str">
        <x:v>Avoid silent passage replacement</x:v>
      </x:c>
    </x:row>
    <x:row r="12" ht="60" customHeight="1">
      <x:c r="A12" s="16" t="n">
        <x:v>8</x:v>
      </x:c>
      <x:c r="B12" s="16" t="str">
        <x:v>Postflight</x:v>
      </x:c>
      <x:c r="C12" s="16" t="str">
        <x:v>Verify counts, hashes, titles, categories, active flags and no Random paragraph category.</x:v>
      </x:c>
      <x:c r="D12" s="16" t="str">
        <x:v>Rollback/abort on mismatch</x:v>
      </x:c>
    </x:row>
    <x:row r="16" ht="32" customHeight="1">
      <x:c r="A16" s="13" t="str">
        <x:v>Metadata</x:v>
      </x:c>
      <x:c r="B16" s="13" t="str">
        <x:v>Recommendation</x:v>
      </x:c>
      <x:c r="C16" s="13" t="str">
        <x:v>Reason</x:v>
      </x:c>
    </x:row>
    <x:row r="17" ht="50" customHeight="1">
      <x:c r="A17" s="16" t="str">
        <x:v>Topic</x:v>
      </x:c>
      <x:c r="B17" s="16" t="str">
        <x:v>Editorial artifact only</x:v>
      </x:c>
      <x:c r="C17" s="16" t="str">
        <x:v>Runtime has no topic filter or behaviour.</x:v>
      </x:c>
    </x:row>
    <x:row r="18" ht="50" customHeight="1">
      <x:c r="A18" s="16" t="str">
        <x:v>Difficulty</x:v>
      </x:c>
      <x:c r="B18" s="16" t="str">
        <x:v>Editorial artifact only</x:v>
      </x:c>
      <x:c r="C18" s="16" t="str">
        <x:v>Internal calibration is not stable and five labels remain under review.</x:v>
      </x:c>
    </x:row>
    <x:row r="19" ht="50" customHeight="1">
      <x:c r="A19" s="16" t="str">
        <x:v>Brief ID</x:v>
      </x:c>
      <x:c r="B19" s="16" t="str">
        <x:v>Versioned editorial artifact; optional migration comment/source map</x:v>
      </x:c>
      <x:c r="C19" s="16" t="str">
        <x:v>Production selection uses passage ID; no runtime need.</x:v>
      </x:c>
    </x:row>
    <x:row r="20" ht="50" customHeight="1">
      <x:c r="A20" s="16" t="str">
        <x:v>Editorial QA / authorial habits</x:v>
      </x:c>
      <x:c r="B20" s="16" t="str">
        <x:v>Editorial artifact only</x:v>
      </x:c>
      <x:c r="C20" s="16" t="str">
        <x:v>No product behaviour requires it.</x:v>
      </x:c>
    </x:row>
    <x:row r="21" ht="50" customHeight="1">
      <x:c r="A21" s="16" t="str">
        <x:v>SHA-256</x:v>
      </x:c>
      <x:c r="B21" s="16" t="str">
        <x:v>Versioned audit artifact; optionally checked by migration script</x:v>
      </x:c>
      <x:c r="C21" s="16" t="str">
        <x:v>Useful for release verification, not runtime queries.</x:v>
      </x:c>
    </x:row>
    <x:row r="22" ht="50" customHeight="1">
      <x:c r="A22" s="16" t="str">
        <x:v>Similarity exemptions</x:v>
      </x:c>
      <x:c r="B22" s="16" t="str">
        <x:v>Editorial artifact only</x:v>
      </x:c>
      <x:c r="C22" s="16" t="str">
        <x:v>No current exemptions; no runtime need.</x:v>
      </x:c>
    </x:row>
    <x:row r="25" ht="32" customHeight="1">
      <x:c r="A25" s="13" t="str">
        <x:v>Future compatibility area</x:v>
      </x:c>
      <x:c r="B25" s="13" t="str">
        <x:v>Read-only finding</x:v>
      </x:c>
      <x:c r="C25" s="13" t="str">
        <x:v>Likely files / tests to update later</x:v>
      </x:c>
    </x:row>
    <x:row r="26" ht="58" customHeight="1">
      <x:c r="A26" s="16" t="str">
        <x:v>Category type registry</x:v>
      </x:c>
      <x:c r="B26" s="16" t="str">
        <x:v>Still enumerates seven legacy labels including Random paragraph.</x:v>
      </x:c>
      <x:c r="C26" s="16" t="str">
        <x:v>lib/supabasePassageTypes.ts; lib/typing-engine.ts</x:v>
      </x:c>
    </x:row>
    <x:row r="27" ht="58" customHeight="1">
      <x:c r="A27" s="16" t="str">
        <x:v>Stored category normalisation</x:v>
      </x:c>
      <x:c r="B27" s="16" t="str">
        <x:v>Defaults and validation still use legacy category values.</x:v>
      </x:c>
      <x:c r="C27" s="16" t="str">
        <x:v>lib/app-storage.ts and tests</x:v>
      </x:c>
    </x:row>
    <x:row r="28" ht="58" customHeight="1">
      <x:c r="A28" s="16" t="str">
        <x:v>Library/admin category UI</x:v>
      </x:c>
      <x:c r="B28" s="16" t="str">
        <x:v>Management default and Library tests use legacy categories.</x:v>
      </x:c>
      <x:c r="C28" s="16" t="str">
        <x:v>pages/passages/manage.tsx; Library/passage-picker tests</x:v>
      </x:c>
    </x:row>
    <x:row r="29" ht="58" customHeight="1">
      <x:c r="A29" s="16" t="str">
        <x:v>Analytics/history</x:v>
      </x:c>
      <x:c r="B29" s="16" t="str">
        <x:v>Historic result categories must remain readable through aliases; do not rewrite result history.</x:v>
      </x:c>
      <x:c r="C29" s="16" t="str">
        <x:v>analytics domain/display tests and compatibility mapping</x:v>
      </x:c>
    </x:row>
    <x:row r="30" ht="58" customHeight="1">
      <x:c r="A30" s="16" t="str">
        <x:v>Practice source</x:v>
      </x:c>
      <x:c r="B30" s="16" t="str">
        <x:v>Random must remain a selection mode, not a passage category.</x:v>
      </x:c>
      <x:c r="C30" s="16" t="str">
        <x:v>Future compatibility work must avoid changing typing/session logic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20" hidden="0" customWidth="1"/>
    <x:col min="4" max="4" width="22" hidden="0" customWidth="1"/>
    <x:col min="5" max="5" width="110" hidden="0" customWidth="1"/>
  </x:cols>
  <x:sheetData>
    <x:row r="1" ht="36" customHeight="1">
      <x:c r="A1" s="3" t="str">
        <x:v>Resolved release revisions and remaining guidance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All four bounded revision groups have passed delta QA; difficulty guidance remains deferred</x:v>
      </x:c>
      <x:c r="B2" s="5"/>
      <x:c r="C2" s="5"/>
      <x:c r="D2" s="5"/>
      <x:c r="E2" s="5"/>
      <x:c r="F2" s="5"/>
      <x:c r="G2" s="5"/>
      <x:c r="H2" s="5"/>
    </x:row>
    <x:row r="4" ht="32" customHeight="1">
      <x:c r="A4" s="13" t="str">
        <x:v>Classification</x:v>
      </x:c>
      <x:c r="B4" s="13" t="str">
        <x:v>ID</x:v>
      </x:c>
      <x:c r="C4" s="13" t="str">
        <x:v>Scope</x:v>
      </x:c>
      <x:c r="D4" s="13" t="str">
        <x:v>Resolution / guidance</x:v>
      </x:c>
      <x:c r="E4" s="13" t="str">
        <x:v>Evidence</x:v>
      </x:c>
    </x:row>
    <x:row r="5" ht="110" customHeight="1">
      <x:c r="A5" s="16" t="str">
        <x:v>RESOLVED</x:v>
      </x:c>
      <x:c r="B5" s="16" t="str">
        <x:v>TR-01</x:v>
      </x:c>
      <x:c r="C5" s="16" t="str">
        <x:v>ECV2-PRO-001</x:v>
      </x:c>
      <x:c r="D5" s="16" t="str">
        <x:v>Rewritten within the locked Delivery methodology brief around a depot repair route, numbered tickets, triage guide, handover checklist, live pilot and acceptance consequence.</x:v>
      </x:c>
      <x:c r="E5" s="16" t="str">
        <x:v>Proposal identity and manifest requirements pass.</x:v>
      </x:c>
    </x:row>
    <x:row r="6" ht="110" customHeight="1">
      <x:c r="A6" s="16" t="str">
        <x:v>RESOLVED</x:v>
      </x:c>
      <x:c r="B6" s="16" t="str">
        <x:v>TR-02</x:v>
      </x:c>
      <x:c r="C6" s="16" t="str">
        <x:v>26 passages</x:v>
      </x:c>
      <x:c r="D6" s="16" t="str">
        <x:v>Removed all 31 prose occurrences of ‘fictional’; invented organisations, places, people and internal authority remain intact.</x:v>
      </x:c>
      <x:c r="E6" s="16" t="str">
        <x:v>Zero occurrences remain; affected passages pass genre and naturalness review.</x:v>
      </x:c>
    </x:row>
    <x:row r="7" ht="110" customHeight="1">
      <x:c r="A7" s="16" t="str">
        <x:v>RESOLVED</x:v>
      </x:c>
      <x:c r="B7" s="16" t="str">
        <x:v>TR-03</x:v>
      </x:c>
      <x:c r="C7" s="16" t="str">
        <x:v>ART-001; PER-013; BUS-007; BUS-017</x:v>
      </x:c>
      <x:c r="D7" s="16" t="str">
        <x:v>Added durable event, billing-cycle, dated decision-window and rota-period anchors.</x:v>
      </x:c>
      <x:c r="E7" s="16" t="str">
        <x:v>PER-003 remains byte-for-byte unchanged under its approved contextual exemption.</x:v>
      </x:c>
    </x:row>
    <x:row r="8" ht="110" customHeight="1">
      <x:c r="A8" s="16" t="str">
        <x:v>RESOLVED</x:v>
      </x:c>
      <x:c r="B8" s="16" t="str">
        <x:v>TR-04</x:v>
      </x:c>
      <x:c r="C8" s="16" t="str">
        <x:v>PER-002; PER-013</x:v>
      </x:c>
      <x:c r="D8" s="16" t="str">
        <x:v>Replaced the em dash with a full stop and the en dash with an ASCII hyphen.</x:v>
      </x:c>
      <x:c r="E8" s="16" t="str">
        <x:v>Zero em/en dashes remain in approved passage prose.</x:v>
      </x:c>
    </x:row>
    <x:row r="9" ht="110" customHeight="1">
      <x:c r="A9" s="16" t="str">
        <x:v>NON-BLOCKING GUIDANCE</x:v>
      </x:c>
      <x:c r="B9" s="16" t="str">
        <x:v>NG-01</x:v>
      </x:c>
      <x:c r="C9" s="16" t="str">
        <x:v>Five difficulty labels</x:v>
      </x:c>
      <x:c r="D9" s="16" t="str">
        <x:v>Review LEG-007, LEG-012, LEG-014, ART-013 and NEW-012 as Core; do not force compensating labels solely to preserve quota.</x:v>
      </x:c>
      <x:c r="E9" s="16" t="str">
        <x:v>Difficulty is internal and not migration schema data.</x:v>
      </x:c>
    </x:row>
    <x:row r="10" ht="110" customHeight="1">
      <x:c r="A10" s="16" t="str">
        <x:v>NON-BLOCKING GUIDANCE</x:v>
      </x:c>
      <x:c r="B10" s="16" t="str">
        <x:v>NG-02</x:v>
      </x:c>
      <x:c r="C10" s="16" t="str">
        <x:v>Formal categories</x:v>
      </x:c>
      <x:c r="D10" s="16" t="str">
        <x:v>Record/service/access/evidence/review remain frequent but genre-natural; continue using concrete objects and people in future additions.</x:v>
      </x:c>
      <x:c r="E10" s="16" t="str">
        <x:v>No vocabulary ban warranted.</x:v>
      </x:c>
    </x:row>
    <x:row r="11" ht="110" customHeight="1">
      <x:c r="A11" s="16" t="str">
        <x:v>NON-BLOCKING GUIDANCE</x:v>
      </x:c>
      <x:c r="B11" s="16" t="str">
        <x:v>NG-03</x:v>
      </x:c>
      <x:c r="C11" s="16" t="str">
        <x:v>All categories</x:v>
      </x:c>
      <x:c r="D11" s="16" t="str">
        <x:v>Concrete/data openings and action endings are visible authorial habits but exact structures remain diverse.</x:v>
      </x:c>
      <x:c r="E11" s="16" t="str">
        <x:v>No prose-wide rewrite justified.</x:v>
      </x:c>
    </x:row>
    <x:row r="12" ht="110" customHeight="1">
      <x:c r="A12" s="16" t="str">
        <x:v>FUTURE ENHANCEMENT</x:v>
      </x:c>
      <x:c r="B12" s="16" t="str">
        <x:v>FE-01</x:v>
      </x:c>
      <x:c r="C12" s="16" t="str">
        <x:v>Product metadata</x:v>
      </x:c>
      <x:c r="D12" s="16" t="str">
        <x:v>Consider topic/difficulty only if adaptive practice or analytics later requires them.</x:v>
      </x:c>
      <x:c r="E12" s="16" t="str">
        <x:v>No schema expansion for v2 migration.</x:v>
      </x:c>
    </x:row>
    <x:row r="15" ht="32" customHeight="1">
      <x:c r="A15" s="13" t="str">
        <x:v>Check</x:v>
      </x:c>
      <x:c r="B15" s="13" t="str">
        <x:v>Expected</x:v>
      </x:c>
      <x:c r="C15" s="13" t="str">
        <x:v>Actual</x:v>
      </x:c>
      <x:c r="D15" s="13" t="str">
        <x:v>Status</x:v>
      </x:c>
      <x:c r="E15" s="13" t="str">
        <x:v>Evidence</x:v>
      </x:c>
    </x:row>
    <x:row r="16" ht="46" customHeight="1">
      <x:c r="A16" s="16" t="str">
        <x:v>Editorial ‘fictional’ scaffolding</x:v>
      </x:c>
      <x:c r="B16" s="16" t="n">
        <x:v>0</x:v>
      </x:c>
      <x:c r="C16" s="16" t="n">
        <x:v>0</x:v>
      </x:c>
      <x:c r="D16" s="16" t="str">
        <x:v>PASS</x:v>
      </x:c>
      <x:c r="E16" s="16" t="str">
        <x:v>All 31 occurrences across 26 passages were removed and surrounding prose reviewed.</x:v>
      </x:c>
    </x:row>
  </x:sheetData>
  <x:mergeCells>
    <x:mergeCell ref="A1:H1"/>
    <x:mergeCell ref="A2:H2"/>
  </x:mergeCells>
  <x:conditionalFormatting sqref="A5:A12">
    <x:cfRule type="containsText" dxfId="6" priority="1" operator="containsText" text="RESOLV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0" hidden="0" customWidth="1"/>
  </x:cols>
  <x:sheetData>
    <x:row r="1" ht="36" customHeight="1">
      <x:c r="A1" s="3" t="str">
        <x:v>Final release recommendation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5" t="str">
        <x:v>Production migration remains intentionally uncreated</x:v>
      </x:c>
      <x:c r="B2" s="5"/>
      <x:c r="C2" s="5"/>
      <x:c r="D2" s="5"/>
      <x:c r="E2" s="5"/>
      <x:c r="F2" s="5"/>
      <x:c r="G2" s="5"/>
      <x:c r="H2" s="5"/>
    </x:row>
    <x:row r="4">
      <x:c r="A4" s="33" t="str">
        <x:v>READY FOR MIGRATION</x:v>
      </x:c>
      <x:c r="B4" s="33"/>
      <x:c r="C4" s="33"/>
      <x:c r="D4" s="33"/>
      <x:c r="E4" s="33"/>
      <x:c r="F4" s="33"/>
      <x:c r="G4" s="33"/>
      <x:c r="H4" s="33"/>
    </x:row>
    <x:row r="5">
      <x:c r="A5" s="33"/>
      <x:c r="B5" s="33"/>
      <x:c r="C5" s="33"/>
      <x:c r="D5" s="33"/>
      <x:c r="E5" s="33"/>
      <x:c r="F5" s="33"/>
      <x:c r="G5" s="33"/>
      <x:c r="H5" s="33"/>
    </x:row>
    <x:row r="6">
      <x:c r="A6" s="33"/>
      <x:c r="B6" s="33"/>
      <x:c r="C6" s="33"/>
      <x:c r="D6" s="33"/>
      <x:c r="E6" s="33"/>
      <x:c r="F6" s="33"/>
      <x:c r="G6" s="33"/>
      <x:c r="H6" s="33"/>
    </x:row>
    <x:row r="7">
      <x:c r="A7" s="33"/>
      <x:c r="B7" s="33"/>
      <x:c r="C7" s="33"/>
      <x:c r="D7" s="33"/>
      <x:c r="E7" s="33"/>
      <x:c r="F7" s="33"/>
      <x:c r="G7" s="33"/>
      <x:c r="H7" s="33"/>
    </x:row>
    <x:row r="10" ht="32" customHeight="1">
      <x:c r="A10" s="13" t="str">
        <x:v>Stage</x:v>
      </x:c>
      <x:c r="B10" s="13" t="str">
        <x:v>Decision</x:v>
      </x:c>
    </x:row>
    <x:row r="11" ht="58" customHeight="1">
      <x:c r="A11" s="16" t="str">
        <x:v>Revision gate</x:v>
      </x:c>
      <x:c r="B11" s="16" t="str">
        <x:v>TR-01 to TR-04 are complete; manifest, British-English, relative-time, special-character, first-12, duplicate-sentence and Jaccard checks pass.</x:v>
      </x:c>
    </x:row>
    <x:row r="12" ht="58" customHeight="1">
      <x:c r="A12" s="16" t="str">
        <x:v>Refreshed artifacts</x:v>
      </x:c>
      <x:c r="B12" s="16" t="str">
        <x:v>The 32 changed passages, approved SHA-256 baseline, approved record, habit register, targeted delta and final audit are aligned.</x:v>
      </x:c>
    </x:row>
    <x:row r="13" ht="58" customHeight="1">
      <x:c r="A13" s="16" t="str">
        <x:v>Migration gate</x:v>
      </x:c>
      <x:c r="B13" s="16" t="str">
        <x:v>Require 140 unique IDs/titles, exact quotas, 40/9/100 legacy plan, zero Random paragraph rows, and exact post-revision hashes.</x:v>
      </x:c>
    </x:row>
    <x:row r="14" ht="58" customHeight="1">
      <x:c r="A14" s="16" t="str">
        <x:v>Not required</x:v>
      </x:c>
      <x:c r="B14" s="16" t="str">
        <x:v>No topic/difficulty/Brief-ID/QA schema expansion; no rewriting of historic typing results or selected retained passage IDs.</x:v>
      </x:c>
    </x:row>
    <x:row r="15" ht="58" customHeight="1">
      <x:c r="A15" s="16" t="str">
        <x:v>Current state</x:v>
      </x:c>
      <x:c r="B15" s="16" t="str">
        <x:v>The 140-text editorial corpus is approved, locked and release-ready. Production migration remains a separate, unperformed action.</x:v>
      </x:c>
    </x:row>
    <x:row r="18">
      <x:c r="A18" s="35" t="str">
        <x:v>No release blocker or unresolved targeted revision remains. Difficulty observations stay non-blocking editorial metadata and do not require schema support. A future production migration may now be prepared under the verified 40 update / 9 deactivate / 100 insert plan.</x:v>
      </x:c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</x:sheetData>
  <x:mergeCells>
    <x:mergeCell ref="A1:H1"/>
    <x:mergeCell ref="A2:H2"/>
    <x:mergeCell ref="A4:H7"/>
    <x:mergeCell ref="A18:H21"/>
  </x:mergeCells>
  <x:pageMargins left="0.7" right="0.7" top="0.75" bottom="0.75" header="0.3" footer="0.3"/>
</x:worksheet>
</file>