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f72c3b7a249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43e6d271896a459a"/>
    <x:sheet xmlns:r="http://schemas.openxmlformats.org/officeDocument/2006/relationships" name="Manifest" sheetId="2" r:id="R95a3ae0c308e4788"/>
    <x:sheet xmlns:r="http://schemas.openxmlformats.org/officeDocument/2006/relationships" name="Validation" sheetId="3" r:id="Ref1b9867ff6245ae"/>
    <x:sheet xmlns:r="http://schemas.openxmlformats.org/officeDocument/2006/relationships" name="Deactivated" sheetId="4" r:id="Rdfeb97a79e9e4c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83153"/>
      <x:name val="Carlito"/>
    </x:font>
    <x:font>
      <x:b/>
      <x:sz val="11"/>
      <x:color rgb="FFFFFFFF"/>
      <x:name val="Carlito"/>
    </x:font>
    <x:font>
      <x:sz val="11"/>
      <x:color rgb="FF17212B"/>
      <x:name val="Carlito"/>
    </x:font>
    <x:font>
      <x:sz val="10"/>
      <x:color rgb="FF17212B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AF2F8"/>
      </x:patternFill>
    </x:fill>
    <x:fill>
      <x:patternFill patternType="solid">
        <x:fgColor rgb="FF2F6B9A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/>
    </x:xf>
    <x:xf numFmtId="0" fontId="6" fillId="2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horizontal="center" vertical="top"/>
    </x:xf>
    <x:xf numFmtId="0" fontId="3" fillId="4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color rgb="FF183153"/>
      </x:font>
      <x:fill>
        <x:patternFill patternType="solid">
          <x:bgColor rgb="FFEAF2F8"/>
        </x:patternFill>
      </x:fill>
    </x:dxf>
    <x:dxf>
      <x:fill>
        <x:patternFill patternType="solid">
          <x:bgColor rgb="FFFFF5DE"/>
        </x:patternFill>
      </x:fill>
    </x:dxf>
    <x:dxf>
      <x:fill>
        <x:patternFill patternType="solid">
          <x:bgColor rgb="FFEAF5EE"/>
        </x:patternFill>
      </x:fill>
    </x:dxf>
    <x:dxf>
      <x:font>
        <x:b/>
        <x:color rgb="FF176B3A"/>
      </x:font>
      <x:fill>
        <x:patternFill patternType="solid">
          <x:bgColor rgb="FFEAF5EE"/>
        </x:patternFill>
      </x:fill>
    </x:dxf>
    <x:dxf>
      <x:font>
        <x:b/>
        <x:color rgb="FFA61B1B"/>
      </x:font>
      <x:fill>
        <x:patternFill patternType="solid">
          <x:bgColor rgb="FFFC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26da1372cd4087" /><Relationship Type="http://schemas.openxmlformats.org/officeDocument/2006/relationships/theme" Target="/xl/theme/theme1.xml" Id="R05039f1b15ad407b" /><Relationship Type="http://schemas.openxmlformats.org/officeDocument/2006/relationships/sharedStrings" Target="/xl/sharedStrings.xml" Id="Rc40ba0425f3c4c8b" /><Relationship Type="http://schemas.openxmlformats.org/officeDocument/2006/relationships/worksheet" Target="/xl/worksheets/sheet1.xml" Id="R43e6d271896a459a" /><Relationship Type="http://schemas.openxmlformats.org/officeDocument/2006/relationships/worksheet" Target="/xl/worksheets/sheet2.xml" Id="R95a3ae0c308e4788" /><Relationship Type="http://schemas.openxmlformats.org/officeDocument/2006/relationships/worksheet" Target="/xl/worksheets/sheet3.xml" Id="Ref1b9867ff6245ae" /><Relationship Type="http://schemas.openxmlformats.org/officeDocument/2006/relationships/worksheet" Target="/xl/worksheets/sheet4.xml" Id="Rdfeb97a79e9e4c18" /></Relationships>
</file>

<file path=xl/tables/table1.xml><?xml version="1.0" encoding="utf-8"?>
<x:table xmlns:x="http://schemas.openxmlformats.org/spreadsheetml/2006/main" id="1" name="CorpusV2Manifest" displayName="CorpusV2Manifest" ref="A1:AE141" headerRowCount="1" totalsRowCount="0" totalsRowShown="0">
  <x:autoFilter ref="A1:AE141"/>
  <x:tableColumns count="31">
    <x:tableColumn id="1" name="Brief ID"/>
    <x:tableColumn id="2" name="Existing passage ID / NEW"/>
    <x:tableColumn id="3" name="Existing title / NEW"/>
    <x:tableColumn id="4" name="Disposition"/>
    <x:tableColumn id="5" name="Category"/>
    <x:tableColumn id="6" name="Topic"/>
    <x:tableColumn id="7" name="Structural direction"/>
    <x:tableColumn id="8" name="Specific subject"/>
    <x:tableColumn id="9" name="Purpose"/>
    <x:tableColumn id="10" name="Audience"/>
    <x:tableColumn id="11" name="Length tier"/>
    <x:tableColumn id="12" name="Target word range"/>
    <x:tableColumn id="13" name="Difficulty"/>
    <x:tableColumn id="14" name="Register"/>
    <x:tableColumn id="15" name="Point of view"/>
    <x:tableColumn id="16" name="Tense"/>
    <x:tableColumn id="17" name="Paragraph shape"/>
    <x:tableColumn id="18" name="Punctuation / numeric / quotation requirements"/>
    <x:tableColumn id="19" name="Opening prohibitions"/>
    <x:tableColumn id="20" name="Transition prohibitions"/>
    <x:tableColumn id="21" name="Ending prohibitions"/>
    <x:tableColumn id="22" name="Similarity risks"/>
    <x:tableColumn id="23" name="Numeric"/>
    <x:tableColumn id="24" name="Date/time"/>
    <x:tableColumn id="25" name="% / currency / measurement"/>
    <x:tableColumn id="26" name="Direct quotation"/>
    <x:tableColumn id="27" name="Colon"/>
    <x:tableColumn id="28" name="Semicolon"/>
    <x:tableColumn id="29" name="Parentheses"/>
    <x:tableColumn id="30" name="Question"/>
    <x:tableColumn id="31" name="Exclam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pusV2Deactivated" displayName="CorpusV2Deactivated" ref="A1:D10" headerRowCount="1" totalsRowCount="0" totalsRowShown="0">
  <x:tableColumns count="4">
    <x:tableColumn id="1" name="Existing passage ID"/>
    <x:tableColumn id="2" name="Existing title"/>
    <x:tableColumn id="3" name="Disposition"/>
    <x:tableColumn id="4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f5a6a13e2048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ce0b59e023848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2" t="str">
        <x:v>English Corpus v2 — Editorial Manifest</x:v>
      </x:c>
      <x:c r="B1" s="2"/>
      <x:c r="C1" s="2"/>
      <x:c r="D1" s="2"/>
      <x:c r="E1" s="2"/>
      <x:c r="F1" s="2"/>
      <x:c r="G1" s="2"/>
      <x:c r="H1" s="2"/>
    </x:row>
    <x:row r="3">
      <x:c r="A3" s="4" t="str">
        <x:v>Status</x:v>
      </x:c>
      <x:c r="B3" s="11" t="str">
        <x:v>Architecture only — no passage prose</x:v>
      </x:c>
    </x:row>
    <x:row r="4">
      <x:c r="A4" s="4" t="str">
        <x:v>Total slots</x:v>
      </x:c>
      <x:c r="B4" s="11" t="n">
        <x:v>140</x:v>
      </x:c>
    </x:row>
    <x:row r="5">
      <x:c r="A5" s="4" t="str">
        <x:v>Public taxonomy</x:v>
      </x:c>
      <x:c r="B5" s="11" t="str">
        <x:v>7 categories × 20 passages</x:v>
      </x:c>
    </x:row>
    <x:row r="6">
      <x:c r="A6" s="4" t="str">
        <x:v>Topic matrix</x:v>
      </x:c>
      <x:c r="B6" s="11" t="str">
        <x:v>10 topics × 14 passages; 2 per Category × Topic</x:v>
      </x:c>
    </x:row>
    <x:row r="7">
      <x:c r="A7" s="4" t="str">
        <x:v>Structural coverage</x:v>
      </x:c>
      <x:c r="B7" s="11" t="str">
        <x:v>5 directions × 4 passages in every category</x:v>
      </x:c>
    </x:row>
    <x:row r="8">
      <x:c r="A8" s="4" t="str">
        <x:v>Length balance</x:v>
      </x:c>
      <x:c r="B8" s="11" t="str">
        <x:v>28 Compact / 78 Standard / 34 Extended</x:v>
      </x:c>
    </x:row>
    <x:row r="9">
      <x:c r="A9" s="4" t="str">
        <x:v>Difficulty balance</x:v>
      </x:c>
      <x:c r="B9" s="11" t="str">
        <x:v>35 Accessible / 70 Core / 35 Challenging (internal only)</x:v>
      </x:c>
    </x:row>
    <x:row r="10">
      <x:c r="A10" s="4" t="str">
        <x:v>Existing concepts</x:v>
      </x:c>
      <x:c r="B10" s="11" t="str">
        <x:v>40 retained by passage ID; 9 deactivated; 100 NEW</x:v>
      </x:c>
    </x:row>
    <x:row r="11">
      <x:c r="A11" s="4" t="str">
        <x:v>Language</x:v>
      </x:c>
      <x:c r="B11" s="11" t="str">
        <x:v>British English only</x:v>
      </x:c>
    </x:row>
    <x:row r="12">
      <x:c r="A12" s="4" t="str">
        <x:v>Similarity gate</x:v>
      </x:c>
      <x:c r="B12" s="11" t="str">
        <x:v>Five-word-shingle Jaccard ≤ 0.12 by default</x:v>
      </x:c>
    </x:row>
    <x:row r="13">
      <x:c r="B13" s="11"/>
    </x:row>
    <x:row r="14">
      <x:c r="A14" s="7" t="str">
        <x:v>Locked rules</x:v>
      </x:c>
      <x:c r="B14" s="12"/>
      <x:c r="C14" s="7"/>
      <x:c r="D14" s="7"/>
      <x:c r="E14" s="7"/>
      <x:c r="F14" s="7"/>
      <x:c r="G14" s="7"/>
      <x:c r="H14" s="7"/>
    </x:row>
    <x:row r="15" ht="28" customHeight="1">
      <x:c r="A15" s="9" t="str">
        <x:v>Category describes what the text is doing as a genre/function. Topic describes what the text is about.</x:v>
      </x:c>
      <x:c r="B15" s="9"/>
      <x:c r="C15" s="9"/>
      <x:c r="D15" s="9"/>
      <x:c r="E15" s="9"/>
      <x:c r="F15" s="9"/>
      <x:c r="G15" s="9"/>
      <x:c r="H15" s="9"/>
    </x:row>
    <x:row r="16" ht="28" customHeight="1">
      <x:c r="A16" s="9" t="str">
        <x:v>Random is a passage-selection mode, never a content category.</x:v>
      </x:c>
      <x:c r="B16" s="9"/>
      <x:c r="C16" s="9"/>
      <x:c r="D16" s="9"/>
      <x:c r="E16" s="9"/>
      <x:c r="F16" s="9"/>
      <x:c r="G16" s="9"/>
      <x:c r="H16" s="9"/>
    </x:row>
    <x:row r="17" ht="28" customHeight="1">
      <x:c r="A17" s="9" t="str">
        <x:v>Every slot has a unique structural brief. Directions are coverage quotas, not reusable templates.</x:v>
      </x:c>
      <x:c r="B17" s="9"/>
      <x:c r="C17" s="9"/>
      <x:c r="D17" s="9"/>
      <x:c r="E17" s="9"/>
      <x:c r="F17" s="9"/>
      <x:c r="G17" s="9"/>
      <x:c r="H17" s="9"/>
    </x:row>
    <x:row r="18" ht="28" customHeight="1">
      <x:c r="A18" s="9" t="str">
        <x:v>Difficulty is internal editorial metadata and must not become a public filter.</x:v>
      </x:c>
      <x:c r="B18" s="9"/>
      <x:c r="C18" s="9"/>
      <x:c r="D18" s="9"/>
      <x:c r="E18" s="9"/>
      <x:c r="F18" s="9"/>
      <x:c r="G18" s="9"/>
      <x:c r="H18" s="9"/>
    </x:row>
    <x:row r="19" ht="28" customHeight="1">
      <x:c r="A19" s="9" t="str">
        <x:v>Genre-specific conventional wording may receive a documented manual similarity exemption; structure and surrounding language must remain distinct.</x:v>
      </x:c>
      <x:c r="B19" s="9"/>
      <x:c r="C19" s="9"/>
      <x:c r="D19" s="9"/>
      <x:c r="E19" s="9"/>
      <x:c r="F19" s="9"/>
      <x:c r="G19" s="9"/>
      <x:c r="H19" s="9"/>
    </x:row>
    <x:row r="20" ht="28" customHeight="1">
      <x:c r="A20" s="9" t="str">
        <x:v>Passage-ID-specific manifest dispositions take precedence over all legacy category aliases.</x:v>
      </x:c>
      <x:c r="B20" s="9"/>
      <x:c r="C20" s="9"/>
      <x:c r="D20" s="9"/>
      <x:c r="E20" s="9"/>
      <x:c r="F20" s="9"/>
      <x:c r="G20" s="9"/>
      <x:c r="H20" s="9"/>
    </x:row>
    <x:row r="21" ht="28" customHeight="1">
      <x:c r="A21" s="9" t="str">
        <x:v>Random paragraph → Articles is a compatibility alias only; it must never override explicit rows such as A Library Open After Dark → News.</x:v>
      </x:c>
      <x:c r="B21" s="9"/>
      <x:c r="C21" s="9"/>
      <x:c r="D21" s="9"/>
      <x:c r="E21" s="9"/>
      <x:c r="F21" s="9"/>
      <x:c r="G21" s="9"/>
      <x:c r="H21" s="9"/>
    </x:row>
    <x:row r="22" ht="28" customHeight="1">
      <x:c r="A22" s="9" t="str">
        <x:v>No prose has been drafted in this workbook.</x:v>
      </x:c>
      <x:c r="B22" s="9"/>
      <x:c r="C22" s="9"/>
      <x:c r="D22" s="9"/>
      <x:c r="E22" s="9"/>
      <x:c r="F22" s="9"/>
      <x:c r="G22" s="9"/>
      <x:c r="H22" s="9"/>
    </x:row>
    <x:row r="23">
      <x:c r="B23" s="11"/>
    </x:row>
    <x:row r="24">
      <x:c r="A24" s="7" t="str">
        <x:v>Workbook guide</x:v>
      </x:c>
      <x:c r="B24" s="12"/>
      <x:c r="C24" s="7"/>
      <x:c r="D24" s="7"/>
      <x:c r="E24" s="7"/>
      <x:c r="F24" s="7"/>
      <x:c r="G24" s="7"/>
      <x:c r="H24" s="7"/>
    </x:row>
    <x:row r="25">
      <x:c r="A25" s="10" t="str">
        <x:v>Manifest</x:v>
      </x:c>
      <x:c r="B25" s="11" t="str">
        <x:v>The authoritative 140-slot editorial plan. Filter by Category, Topic, disposition, length or difficulty.</x:v>
      </x:c>
    </x:row>
    <x:row r="26">
      <x:c r="A26" s="10" t="str">
        <x:v>Validation</x:v>
      </x:c>
      <x:c r="B26" s="11" t="str">
        <x:v>Formula-driven and preflight checks for every locked quota.</x:v>
      </x:c>
    </x:row>
    <x:row r="27">
      <x:c r="A27" s="10" t="str">
        <x:v>Deactivated</x:v>
      </x:c>
      <x:c r="B27" s="11" t="str">
        <x:v>Nine active-v1 passages that are not assigned a v2 slot.</x:v>
      </x:c>
    </x:row>
    <x:row r="28">
      <x:c r="A28" s="10" t="str">
        <x:v>Editing rule</x:v>
      </x:c>
      <x:c r="B28" s="11" t="str">
        <x:v>Do not write prose until every brief has passed editorial review.</x:v>
      </x:c>
    </x:row>
  </x:sheetData>
  <x:mergeCells>
    <x:mergeCell ref="A1:H1"/>
    <x:mergeCell ref="A14:H14"/>
    <x:mergeCell ref="A15:H15"/>
    <x:mergeCell ref="A16:H16"/>
    <x:mergeCell ref="A17:H17"/>
    <x:mergeCell ref="A18:H18"/>
    <x:mergeCell ref="A19:H19"/>
    <x:mergeCell ref="A20:H20"/>
    <x:mergeCell ref="A21:H21"/>
    <x:mergeCell ref="A22:H22"/>
    <x:mergeCell ref="A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8" hidden="0" customWidth="1"/>
    <x:col min="3" max="3" width="39" hidden="0" customWidth="1"/>
    <x:col min="4" max="4" width="20" hidden="0" customWidth="1"/>
    <x:col min="5" max="5" width="31" hidden="0" customWidth="1"/>
    <x:col min="6" max="6" width="35" hidden="0" customWidth="1"/>
    <x:col min="7" max="7" width="29" hidden="0" customWidth="1"/>
    <x:col min="8" max="8" width="48" hidden="0" customWidth="1"/>
    <x:col min="9" max="9" width="52" hidden="0" customWidth="1"/>
    <x:col min="10" max="10" width="36" hidden="0" customWidth="1"/>
    <x:col min="11" max="11" width="14" hidden="0" customWidth="1"/>
    <x:col min="12" max="12" width="18" hidden="0" customWidth="1"/>
    <x:col min="13" max="13" width="15" hidden="0" customWidth="1"/>
    <x:col min="14" max="14" width="37" hidden="0" customWidth="1"/>
    <x:col min="15" max="15" width="36" hidden="0" customWidth="1"/>
    <x:col min="16" max="16" width="39" hidden="0" customWidth="1"/>
    <x:col min="17" max="17" width="62" hidden="0" customWidth="1"/>
    <x:col min="18" max="18" width="66" hidden="0" customWidth="1"/>
    <x:col min="19" max="19" width="72" hidden="0" customWidth="1"/>
    <x:col min="20" max="20" width="72" hidden="0" customWidth="1"/>
    <x:col min="21" max="21" width="65" hidden="0" customWidth="1"/>
    <x:col min="22" max="22" width="78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</x:cols>
  <x:sheetData>
    <x:row r="1" ht="42" customHeight="1">
      <x:c r="A1" s="14" t="str">
        <x:v>Brief ID</x:v>
      </x:c>
      <x:c r="B1" s="14" t="str">
        <x:v>Existing passage ID / NEW</x:v>
      </x:c>
      <x:c r="C1" s="14" t="str">
        <x:v>Existing title / NEW</x:v>
      </x:c>
      <x:c r="D1" s="14" t="str">
        <x:v>Disposition</x:v>
      </x:c>
      <x:c r="E1" s="14" t="str">
        <x:v>Category</x:v>
      </x:c>
      <x:c r="F1" s="14" t="str">
        <x:v>Topic</x:v>
      </x:c>
      <x:c r="G1" s="14" t="str">
        <x:v>Structural direction</x:v>
      </x:c>
      <x:c r="H1" s="14" t="str">
        <x:v>Specific subject</x:v>
      </x:c>
      <x:c r="I1" s="14" t="str">
        <x:v>Purpose</x:v>
      </x:c>
      <x:c r="J1" s="14" t="str">
        <x:v>Audience</x:v>
      </x:c>
      <x:c r="K1" s="14" t="str">
        <x:v>Length tier</x:v>
      </x:c>
      <x:c r="L1" s="14" t="str">
        <x:v>Target word range</x:v>
      </x:c>
      <x:c r="M1" s="14" t="str">
        <x:v>Difficulty</x:v>
      </x:c>
      <x:c r="N1" s="14" t="str">
        <x:v>Register</x:v>
      </x:c>
      <x:c r="O1" s="14" t="str">
        <x:v>Point of view</x:v>
      </x:c>
      <x:c r="P1" s="14" t="str">
        <x:v>Tense</x:v>
      </x:c>
      <x:c r="Q1" s="14" t="str">
        <x:v>Paragraph shape</x:v>
      </x:c>
      <x:c r="R1" s="14" t="str">
        <x:v>Punctuation / numeric / quotation requirements</x:v>
      </x:c>
      <x:c r="S1" s="14" t="str">
        <x:v>Opening prohibitions</x:v>
      </x:c>
      <x:c r="T1" s="14" t="str">
        <x:v>Transition prohibitions</x:v>
      </x:c>
      <x:c r="U1" s="14" t="str">
        <x:v>Ending prohibitions</x:v>
      </x:c>
      <x:c r="V1" s="14" t="str">
        <x:v>Similarity risks</x:v>
      </x:c>
      <x:c r="W1" s="14" t="str">
        <x:v>Numeric</x:v>
      </x:c>
      <x:c r="X1" s="14" t="str">
        <x:v>Date/time</x:v>
      </x:c>
      <x:c r="Y1" s="14" t="str">
        <x:v>% / currency / measurement</x:v>
      </x:c>
      <x:c r="Z1" s="14" t="str">
        <x:v>Direct quotation</x:v>
      </x:c>
      <x:c r="AA1" s="14" t="str">
        <x:v>Colon</x:v>
      </x:c>
      <x:c r="AB1" s="14" t="str">
        <x:v>Semicolon</x:v>
      </x:c>
      <x:c r="AC1" s="14" t="str">
        <x:v>Parentheses</x:v>
      </x:c>
      <x:c r="AD1" s="14" t="str">
        <x:v>Question</x:v>
      </x:c>
      <x:c r="AE1" s="14" t="str">
        <x:v>Exclamation</x:v>
      </x:c>
    </x:row>
    <x:row r="2" ht="64" customHeight="1">
      <x:c r="A2" s="16" t="str">
        <x:v>ECV2-ART-001</x:v>
      </x:c>
      <x:c r="B2" s="16" t="str">
        <x:v>NEW</x:v>
      </x:c>
      <x:c r="C2" s="16" t="str">
        <x:v>NEW</x:v>
      </x:c>
      <x:c r="D2" s="16" t="str">
        <x:v>NEW</x:v>
      </x:c>
      <x:c r="E2" s="16" t="str">
        <x:v>Articles</x:v>
      </x:c>
      <x:c r="F2" s="16" t="str">
        <x:v>Work &amp; organisations</x:v>
      </x:c>
      <x:c r="G2" s="16" t="str">
        <x:v>Explainer</x:v>
      </x:c>
      <x:c r="H2" s="17" t="str">
        <x:v>Why project handovers fail even when the documents are complete</x:v>
      </x:c>
      <x:c r="I2" s="17" t="str">
        <x:v>Explain the mechanism, consequences and limits behind “Why project handovers fail even when the documents are complete”.</x:v>
      </x:c>
      <x:c r="J2" s="17" t="str">
        <x:v>Interested general readers</x:v>
      </x:c>
      <x:c r="K2" s="17" t="str">
        <x:v>Standard</x:v>
      </x:c>
      <x:c r="L2" s="17" t="str">
        <x:v>200–349 words</x:v>
      </x:c>
      <x:c r="M2" s="17" t="str">
        <x:v>Accessible</x:v>
      </x:c>
      <x:c r="N2" s="17" t="str">
        <x:v>Clear editorial British English</x:v>
      </x:c>
      <x:c r="O2" s="17" t="str">
        <x:v>Third person</x:v>
      </x:c>
      <x:c r="P2" s="17" t="str">
        <x:v>Present with bounded past examples</x:v>
      </x:c>
      <x:c r="Q2" s="17" t="str">
        <x:v>3 paragraphs: open with a concrete action already under way; develop through chronology with one controlled shift in perspective; close with an unresolved but specific implication.</x:v>
      </x:c>
      <x:c r="R2" s="17" t="str">
        <x:v>Use a colon naturally. Do not add other marked features artificially.</x:v>
      </x:c>
      <x:c r="S2" s="17" t="str">
        <x:v>Do not restate the title; do not open with “Work &amp; organisations is important”, “This article/message/proposal sets out…”, “The following…”, or any legacy family formula.</x:v>
      </x:c>
      <x:c r="T2" s="17" t="str">
        <x:v>No First/Secondly/Finally ladder; avoid stock “moreover/furthermore/another important” transitions; movement must follow chronology with one controlled shift in perspective.</x:v>
      </x:c>
      <x:c r="U2" s="17" t="str">
        <x:v>Do not use “In conclusion”, “Taken together”, a generic call to action, or a thesis recap; end through an unresolved but specific implication.</x:v>
      </x:c>
      <x:c r="V2" s="17" t="str">
        <x:v>Keep lexical and structural distance from paired brief ECV2-ART-002 (“Why meeting-free blocks change team coordination”) and from the same Topic in other genres. Avoid benefits-list prose, institutional boilerplate and substituted-noun variants.</x:v>
      </x:c>
      <x:c r="W2" s="18" t="str">
        <x:v>No</x:v>
      </x:c>
      <x:c r="X2" s="18" t="str">
        <x:v>No</x:v>
      </x:c>
      <x:c r="Y2" s="18" t="str">
        <x:v>No</x:v>
      </x:c>
      <x:c r="Z2" s="18" t="str">
        <x:v>No</x:v>
      </x:c>
      <x:c r="AA2" s="18" t="str">
        <x:v>Yes</x:v>
      </x:c>
      <x:c r="AB2" s="18" t="str">
        <x:v>No</x:v>
      </x:c>
      <x:c r="AC2" s="18" t="str">
        <x:v>No</x:v>
      </x:c>
      <x:c r="AD2" s="18" t="str">
        <x:v>No</x:v>
      </x:c>
      <x:c r="AE2" s="18" t="str">
        <x:v>No</x:v>
      </x:c>
    </x:row>
    <x:row r="3" ht="64" customHeight="1">
      <x:c r="A3" s="16" t="str">
        <x:v>ECV2-ART-002</x:v>
      </x:c>
      <x:c r="B3" s="16" t="str">
        <x:v>NEW</x:v>
      </x:c>
      <x:c r="C3" s="16" t="str">
        <x:v>NEW</x:v>
      </x:c>
      <x:c r="D3" s="16" t="str">
        <x:v>NEW</x:v>
      </x:c>
      <x:c r="E3" s="16" t="str">
        <x:v>Articles</x:v>
      </x:c>
      <x:c r="F3" s="16" t="str">
        <x:v>Work &amp; organisations</x:v>
      </x:c>
      <x:c r="G3" s="16" t="str">
        <x:v>Analysis</x:v>
      </x:c>
      <x:c r="H3" s="17" t="str">
        <x:v>Why meeting-free blocks change team coordination</x:v>
      </x:c>
      <x:c r="I3" s="17" t="str">
        <x:v>Test the evidence and trade-offs around “Why meeting-free blocks change team coordination”.</x:v>
      </x:c>
      <x:c r="J3" s="17" t="str">
        <x:v>Readers seeking a clear, evidence-aware explanation</x:v>
      </x:c>
      <x:c r="K3" s="17" t="str">
        <x:v>Standard</x:v>
      </x:c>
      <x:c r="L3" s="17" t="str">
        <x:v>200–349 words</x:v>
      </x:c>
      <x:c r="M3" s="17" t="str">
        <x:v>Core</x:v>
      </x:c>
      <x:c r="N3" s="17" t="str">
        <x:v>Measured analytical British English</x:v>
      </x:c>
      <x:c r="O3" s="17" t="str">
        <x:v>Second person where guidance requires it</x:v>
      </x:c>
      <x:c r="P3" s="17" t="str">
        <x:v>Present and present perfect</x:v>
      </x:c>
      <x:c r="Q3" s="17" t="str">
        <x:v>4 paragraphs: open with a brief contrast between expectation and result; develop through chronology with one controlled shift in perspective; close with a practical boundary rather than a promise.</x:v>
      </x:c>
      <x:c r="R3" s="17" t="str">
        <x:v>Use at least one genuine question. Do not add other marked features artificially.</x:v>
      </x:c>
      <x:c r="S3" s="17" t="str">
        <x:v>Do not restate the title; do not open with “Work &amp; organisations is important”, “This article/message/proposal sets out…”, “The following…”, or any legacy family formula.</x:v>
      </x:c>
      <x:c r="T3" s="17" t="str">
        <x:v>No First/Secondly/Finally ladder; avoid stock “moreover/furthermore/another important” transitions; movement must follow chronology with one controlled shift in perspective.</x:v>
      </x:c>
      <x:c r="U3" s="17" t="str">
        <x:v>Do not use “In conclusion”, “Taken together”, a generic call to action, or a thesis recap; end through a practical boundary rather than a promise.</x:v>
      </x:c>
      <x:c r="V3" s="17" t="str">
        <x:v>Keep lexical and structural distance from paired brief ECV2-ART-001 (“Why project handovers fail even when the documents are complete”) and from the same Topic in other genres. Avoid benefits-list prose, institutional boilerplate and substituted-noun variants.</x:v>
      </x:c>
      <x:c r="W3" s="18" t="str">
        <x:v>No</x:v>
      </x:c>
      <x:c r="X3" s="18" t="str">
        <x:v>No</x:v>
      </x:c>
      <x:c r="Y3" s="18" t="str">
        <x:v>No</x:v>
      </x:c>
      <x:c r="Z3" s="18" t="str">
        <x:v>No</x:v>
      </x:c>
      <x:c r="AA3" s="18" t="str">
        <x:v>No</x:v>
      </x:c>
      <x:c r="AB3" s="18" t="str">
        <x:v>No</x:v>
      </x:c>
      <x:c r="AC3" s="18" t="str">
        <x:v>No</x:v>
      </x:c>
      <x:c r="AD3" s="18" t="str">
        <x:v>Yes</x:v>
      </x:c>
      <x:c r="AE3" s="18" t="str">
        <x:v>No</x:v>
      </x:c>
    </x:row>
    <x:row r="4" ht="64" customHeight="1">
      <x:c r="A4" s="16" t="str">
        <x:v>ECV2-ART-003</x:v>
      </x:c>
      <x:c r="B4" s="16" t="str">
        <x:v>NEW</x:v>
      </x:c>
      <x:c r="C4" s="16" t="str">
        <x:v>NEW</x:v>
      </x:c>
      <x:c r="D4" s="16" t="str">
        <x:v>NEW</x:v>
      </x:c>
      <x:c r="E4" s="16" t="str">
        <x:v>Articles</x:v>
      </x:c>
      <x:c r="F4" s="16" t="str">
        <x:v>Technology &amp; digital life</x:v>
      </x:c>
      <x:c r="G4" s="16" t="str">
        <x:v>Explainer</x:v>
      </x:c>
      <x:c r="H4" s="17" t="str">
        <x:v>What passwordless sign-in changes for ordinary users</x:v>
      </x:c>
      <x:c r="I4" s="17" t="str">
        <x:v>Explain the mechanism, consequences and limits behind “What passwordless sign-in changes for ordinary users”.</x:v>
      </x:c>
      <x:c r="J4" s="17" t="str">
        <x:v>Interested general readers</x:v>
      </x:c>
      <x:c r="K4" s="17" t="str">
        <x:v>Standard</x:v>
      </x:c>
      <x:c r="L4" s="17" t="str">
        <x:v>200–349 words</x:v>
      </x:c>
      <x:c r="M4" s="17" t="str">
        <x:v>Core</x:v>
      </x:c>
      <x:c r="N4" s="17" t="str">
        <x:v>Accessible feature-writing register</x:v>
      </x:c>
      <x:c r="O4" s="17" t="str">
        <x:v>Mixed third person and attributed voice</x:v>
      </x:c>
      <x:c r="P4" s="17" t="str">
        <x:v>Past-to-present progression</x:v>
      </x:c>
      <x:c r="Q4" s="17" t="str">
        <x:v>5 paragraphs: open with one precise observation; develop through chronology with one controlled shift in perspective; close with a concrete next action.</x:v>
      </x:c>
      <x:c r="R4" s="17" t="str">
        <x:v>Use at least one contextual Arabic numeral. Do not add other marked features artificially.</x:v>
      </x:c>
      <x:c r="S4" s="17" t="str">
        <x:v>Do not restate the title; do not open with “Technology &amp; digital life is important”, “This article/message/proposal sets out…”, “The following…”, or any legacy family formula.</x:v>
      </x:c>
      <x:c r="T4" s="17" t="str">
        <x:v>No First/Secondly/Finally ladder; avoid stock “moreover/furthermore/another important” transitions; movement must follow chronology with one controlled shift in perspective.</x:v>
      </x:c>
      <x:c r="U4" s="17" t="str">
        <x:v>Do not use “In conclusion”, “Taken together”, a generic call to action, or a thesis recap; end through a concrete next action.</x:v>
      </x:c>
      <x:c r="V4" s="17" t="str">
        <x:v>Keep lexical and structural distance from paired brief ECV2-ART-004 (“How recommendation systems narrow everyday choices”) and from the same Topic in other genres. Avoid benefits-list prose, institutional boilerplate and substituted-noun variants.</x:v>
      </x:c>
      <x:c r="W4" s="18" t="str">
        <x:v>Yes</x:v>
      </x:c>
      <x:c r="X4" s="18" t="str">
        <x:v>No</x:v>
      </x:c>
      <x:c r="Y4" s="18" t="str">
        <x:v>No</x:v>
      </x:c>
      <x:c r="Z4" s="18" t="str">
        <x:v>No</x:v>
      </x:c>
      <x:c r="AA4" s="18" t="str">
        <x:v>No</x:v>
      </x:c>
      <x:c r="AB4" s="18" t="str">
        <x:v>No</x:v>
      </x:c>
      <x:c r="AC4" s="18" t="str">
        <x:v>No</x:v>
      </x:c>
      <x:c r="AD4" s="18" t="str">
        <x:v>No</x:v>
      </x:c>
      <x:c r="AE4" s="18" t="str">
        <x:v>No</x:v>
      </x:c>
    </x:row>
    <x:row r="5" ht="64" customHeight="1">
      <x:c r="A5" s="16" t="str">
        <x:v>ECV2-ART-004</x:v>
      </x:c>
      <x:c r="B5" s="16" t="str">
        <x:v>NEW</x:v>
      </x:c>
      <x:c r="C5" s="16" t="str">
        <x:v>NEW</x:v>
      </x:c>
      <x:c r="D5" s="16" t="str">
        <x:v>NEW</x:v>
      </x:c>
      <x:c r="E5" s="16" t="str">
        <x:v>Articles</x:v>
      </x:c>
      <x:c r="F5" s="16" t="str">
        <x:v>Technology &amp; digital life</x:v>
      </x:c>
      <x:c r="G5" s="16" t="str">
        <x:v>Analysis</x:v>
      </x:c>
      <x:c r="H5" s="17" t="str">
        <x:v>How recommendation systems narrow everyday choices</x:v>
      </x:c>
      <x:c r="I5" s="17" t="str">
        <x:v>Test the evidence and trade-offs around “How recommendation systems narrow everyday choices”.</x:v>
      </x:c>
      <x:c r="J5" s="17" t="str">
        <x:v>Readers seeking a clear, evidence-aware explanation</x:v>
      </x:c>
      <x:c r="K5" s="17" t="str">
        <x:v>Standard</x:v>
      </x:c>
      <x:c r="L5" s="17" t="str">
        <x:v>200–349 words</x:v>
      </x:c>
      <x:c r="M5" s="17" t="str">
        <x:v>Challenging</x:v>
      </x:c>
      <x:c r="N5" s="17" t="str">
        <x:v>Clear editorial British English</x:v>
      </x:c>
      <x:c r="O5" s="17" t="str">
        <x:v>Third person</x:v>
      </x:c>
      <x:c r="P5" s="17" t="str">
        <x:v>Present with bounded past examples</x:v>
      </x:c>
      <x:c r="Q5" s="17" t="str">
        <x:v>3 paragraphs: open with a small case before its wider meaning; develop through chronology with one controlled shift in perspective; close with a precise takeaway without recapping every paragraph.</x:v>
      </x:c>
      <x:c r="R5" s="17" t="str">
        <x:v>Use a semicolon naturally. Do not add other marked features artificially.</x:v>
      </x:c>
      <x:c r="S5" s="17" t="str">
        <x:v>Do not restate the title; do not open with “Technology &amp; digital life is important”, “This article/message/proposal sets out…”, “The following…”, or any legacy family formula.</x:v>
      </x:c>
      <x:c r="T5" s="17" t="str">
        <x:v>No First/Secondly/Finally ladder; avoid stock “moreover/furthermore/another important” transitions; movement must follow chronology with one controlled shift in perspective.</x:v>
      </x:c>
      <x:c r="U5" s="17" t="str">
        <x:v>Do not use “In conclusion”, “Taken together”, a generic call to action, or a thesis recap; end through a precise takeaway without recapping every paragraph.</x:v>
      </x:c>
      <x:c r="V5" s="17" t="str">
        <x:v>Keep lexical and structural distance from paired brief ECV2-ART-003 (“What passwordless sign-in changes for ordinary users”) and from the same Topic in other genres. Avoid benefits-list prose, institutional boilerplate and substituted-noun variants.</x:v>
      </x:c>
      <x:c r="W5" s="18" t="str">
        <x:v>No</x:v>
      </x:c>
      <x:c r="X5" s="18" t="str">
        <x:v>No</x:v>
      </x:c>
      <x:c r="Y5" s="18" t="str">
        <x:v>No</x:v>
      </x:c>
      <x:c r="Z5" s="18" t="str">
        <x:v>No</x:v>
      </x:c>
      <x:c r="AA5" s="18" t="str">
        <x:v>No</x:v>
      </x:c>
      <x:c r="AB5" s="18" t="str">
        <x:v>Yes</x:v>
      </x:c>
      <x:c r="AC5" s="18" t="str">
        <x:v>No</x:v>
      </x:c>
      <x:c r="AD5" s="18" t="str">
        <x:v>No</x:v>
      </x:c>
      <x:c r="AE5" s="18" t="str">
        <x:v>No</x:v>
      </x:c>
    </x:row>
    <x:row r="6" ht="64" customHeight="1">
      <x:c r="A6" s="16" t="str">
        <x:v>ECV2-ART-005</x:v>
      </x:c>
      <x:c r="B6" s="16" t="str">
        <x:v>62e392f2-7bdd-4e7c-93f7-d902b473c46d</x:v>
      </x:c>
      <x:c r="C6" s="16" t="str">
        <x:v>The Useful Pause</x:v>
      </x:c>
      <x:c r="D6" s="16" t="str">
        <x:v>Reclassify</x:v>
      </x:c>
      <x:c r="E6" s="16" t="str">
        <x:v>Articles</x:v>
      </x:c>
      <x:c r="F6" s="16" t="str">
        <x:v>Health &amp; wellbeing</x:v>
      </x:c>
      <x:c r="G6" s="16" t="str">
        <x:v>Practical guide</x:v>
      </x:c>
      <x:c r="H6" s="17" t="str">
        <x:v>How a deliberate pause improves judgement under pressure</x:v>
      </x:c>
      <x:c r="I6" s="17" t="str">
        <x:v>Give readers concrete, bounded guidance about “How a deliberate pause improves judgement under pressure”.</x:v>
      </x:c>
      <x:c r="J6" s="17" t="str">
        <x:v>Interested general readers</x:v>
      </x:c>
      <x:c r="K6" s="17" t="str">
        <x:v>Compact</x:v>
      </x:c>
      <x:c r="L6" s="17" t="str">
        <x:v>140–199 words</x:v>
      </x:c>
      <x:c r="M6" s="17" t="str">
        <x:v>Accessible</x:v>
      </x:c>
      <x:c r="N6" s="17" t="str">
        <x:v>Measured analytical British English</x:v>
      </x:c>
      <x:c r="O6" s="17" t="str">
        <x:v>Second person where guidance requires it</x:v>
      </x:c>
      <x:c r="P6" s="17" t="str">
        <x:v>Present and present perfect</x:v>
      </x:c>
      <x:c r="Q6" s="17" t="str">
        <x:v>2 paragraphs: open with the immediate decision facing the reader; develop through chronology with one controlled shift in perspective; close with a return to the opening image with changed meaning.</x:v>
      </x:c>
      <x:c r="R6" s="17" t="str">
        <x:v>Use a colon naturally; Use at least one genuine question. Do not add other marked features artificially.</x:v>
      </x:c>
      <x:c r="S6" s="17" t="str">
        <x:v>Do not restate the title; do not open with “Health &amp; wellbeing is important”, “This article/message/proposal sets out…”, “The following…”, or any legacy family formula.</x:v>
      </x:c>
      <x:c r="T6" s="17" t="str">
        <x:v>No First/Secondly/Finally ladder; avoid stock “moreover/furthermore/another important” transitions; movement must follow chronology with one controlled shift in perspective.</x:v>
      </x:c>
      <x:c r="U6" s="17" t="str">
        <x:v>Do not use “In conclusion”, “Taken together”, a generic call to action, or a thesis recap; end through a return to the opening image with changed meaning.</x:v>
      </x:c>
      <x:c r="V6" s="17" t="str">
        <x:v>Keep lexical and structural distance from paired brief ECV2-ART-006 (“Why sleep routines drift after small changes”) and from the same Topic in other genres. Avoid benefits-list prose, institutional boilerplate and substituted-noun variants. Do not reuse wording, paragraph order or conclusions from “The Useful Pause”; its former copy is reference-only.</x:v>
      </x:c>
      <x:c r="W6" s="18" t="str">
        <x:v>No</x:v>
      </x:c>
      <x:c r="X6" s="18" t="str">
        <x:v>No</x:v>
      </x:c>
      <x:c r="Y6" s="18" t="str">
        <x:v>No</x:v>
      </x:c>
      <x:c r="Z6" s="18" t="str">
        <x:v>No</x:v>
      </x:c>
      <x:c r="AA6" s="18" t="str">
        <x:v>Yes</x:v>
      </x:c>
      <x:c r="AB6" s="18" t="str">
        <x:v>No</x:v>
      </x:c>
      <x:c r="AC6" s="18" t="str">
        <x:v>No</x:v>
      </x:c>
      <x:c r="AD6" s="18" t="str">
        <x:v>Yes</x:v>
      </x:c>
      <x:c r="AE6" s="18" t="str">
        <x:v>No</x:v>
      </x:c>
    </x:row>
    <x:row r="7" ht="64" customHeight="1">
      <x:c r="A7" s="16" t="str">
        <x:v>ECV2-ART-006</x:v>
      </x:c>
      <x:c r="B7" s="16" t="str">
        <x:v>NEW</x:v>
      </x:c>
      <x:c r="C7" s="16" t="str">
        <x:v>NEW</x:v>
      </x:c>
      <x:c r="D7" s="16" t="str">
        <x:v>NEW</x:v>
      </x:c>
      <x:c r="E7" s="16" t="str">
        <x:v>Articles</x:v>
      </x:c>
      <x:c r="F7" s="16" t="str">
        <x:v>Health &amp; wellbeing</x:v>
      </x:c>
      <x:c r="G7" s="16" t="str">
        <x:v>Explainer</x:v>
      </x:c>
      <x:c r="H7" s="17" t="str">
        <x:v>Why sleep routines drift after small changes</x:v>
      </x:c>
      <x:c r="I7" s="17" t="str">
        <x:v>Explain the mechanism, consequences and limits behind “Why sleep routines drift after small changes”.</x:v>
      </x:c>
      <x:c r="J7" s="17" t="str">
        <x:v>Readers seeking a clear, evidence-aware explanation</x:v>
      </x:c>
      <x:c r="K7" s="17" t="str">
        <x:v>Standard</x:v>
      </x:c>
      <x:c r="L7" s="17" t="str">
        <x:v>200–349 words</x:v>
      </x:c>
      <x:c r="M7" s="17" t="str">
        <x:v>Core</x:v>
      </x:c>
      <x:c r="N7" s="17" t="str">
        <x:v>Accessible feature-writing register</x:v>
      </x:c>
      <x:c r="O7" s="17" t="str">
        <x:v>Mixed third person and attributed voice</x:v>
      </x:c>
      <x:c r="P7" s="17" t="str">
        <x:v>Past-to-present progression</x:v>
      </x:c>
      <x:c r="Q7" s="17" t="str">
        <x:v>5 paragraphs: open with a consequential detail from a document; develop through chronology with one controlled shift in perspective; close with a final stakeholder voice.</x:v>
      </x:c>
      <x:c r="R7" s="17" t="str">
        <x:v>Use one necessary parenthetical phrase. Do not add other marked features artificially.</x:v>
      </x:c>
      <x:c r="S7" s="17" t="str">
        <x:v>Do not restate the title; do not open with “Health &amp; wellbeing is important”, “This article/message/proposal sets out…”, “The following…”, or any legacy family formula.</x:v>
      </x:c>
      <x:c r="T7" s="17" t="str">
        <x:v>No First/Secondly/Finally ladder; avoid stock “moreover/furthermore/another important” transitions; movement must follow chronology with one controlled shift in perspective.</x:v>
      </x:c>
      <x:c r="U7" s="17" t="str">
        <x:v>Do not use “In conclusion”, “Taken together”, a generic call to action, or a thesis recap; end through a final stakeholder voice.</x:v>
      </x:c>
      <x:c r="V7" s="17" t="str">
        <x:v>Keep lexical and structural distance from paired brief ECV2-ART-005 (“How a deliberate pause improves judgement under pressure”) and from the same Topic in other genres. Avoid benefits-list prose, institutional boilerplate and substituted-noun variants.</x:v>
      </x:c>
      <x:c r="W7" s="18" t="str">
        <x:v>No</x:v>
      </x:c>
      <x:c r="X7" s="18" t="str">
        <x:v>No</x:v>
      </x:c>
      <x:c r="Y7" s="18" t="str">
        <x:v>No</x:v>
      </x:c>
      <x:c r="Z7" s="18" t="str">
        <x:v>No</x:v>
      </x:c>
      <x:c r="AA7" s="18" t="str">
        <x:v>No</x:v>
      </x:c>
      <x:c r="AB7" s="18" t="str">
        <x:v>No</x:v>
      </x:c>
      <x:c r="AC7" s="18" t="str">
        <x:v>Yes</x:v>
      </x:c>
      <x:c r="AD7" s="18" t="str">
        <x:v>No</x:v>
      </x:c>
      <x:c r="AE7" s="18" t="str">
        <x:v>No</x:v>
      </x:c>
    </x:row>
    <x:row r="8" ht="64" customHeight="1">
      <x:c r="A8" s="16" t="str">
        <x:v>ECV2-ART-007</x:v>
      </x:c>
      <x:c r="B8" s="16" t="str">
        <x:v>cab3d15c-cb20-4fa2-a6df-a096fece199e</x:v>
      </x:c>
      <x:c r="C8" s="16" t="str">
        <x:v>Why Slow Practice Works</x:v>
      </x:c>
      <x:c r="D8" s="16" t="str">
        <x:v>Reclassify</x:v>
      </x:c>
      <x:c r="E8" s="16" t="str">
        <x:v>Articles</x:v>
      </x:c>
      <x:c r="F8" s="16" t="str">
        <x:v>Education &amp; learning</x:v>
      </x:c>
      <x:c r="G8" s="16" t="str">
        <x:v>Explainer</x:v>
      </x:c>
      <x:c r="H8" s="17" t="str">
        <x:v>Why slow practice exposes errors before speed hides them</x:v>
      </x:c>
      <x:c r="I8" s="17" t="str">
        <x:v>Explain the mechanism, consequences and limits behind “Why slow practice exposes errors before speed hides them”.</x:v>
      </x:c>
      <x:c r="J8" s="17" t="str">
        <x:v>Interested general readers</x:v>
      </x:c>
      <x:c r="K8" s="17" t="str">
        <x:v>Standard</x:v>
      </x:c>
      <x:c r="L8" s="17" t="str">
        <x:v>200–349 words</x:v>
      </x:c>
      <x:c r="M8" s="17" t="str">
        <x:v>Core</x:v>
      </x:c>
      <x:c r="N8" s="17" t="str">
        <x:v>Clear editorial British English</x:v>
      </x:c>
      <x:c r="O8" s="17" t="str">
        <x:v>Third person</x:v>
      </x:c>
      <x:c r="P8" s="17" t="str">
        <x:v>Present with bounded past examples</x:v>
      </x:c>
      <x:c r="Q8" s="17" t="str">
        <x:v>3 paragraphs: open with a time-stamped moment; develop through chronology with one controlled shift in perspective; close with a forward time marker.</x:v>
      </x:c>
      <x:c r="R8" s="17" t="str">
        <x:v>Use natural full stops, commas and apostrophes; do not add marked punctuation or numbers artificially.</x:v>
      </x:c>
      <x:c r="S8" s="17" t="str">
        <x:v>Do not restate the title; do not open with “Education &amp; learning is important”, “This article/message/proposal sets out…”, “The following…”, or any legacy family formula.</x:v>
      </x:c>
      <x:c r="T8" s="17" t="str">
        <x:v>No First/Secondly/Finally ladder; avoid stock “moreover/furthermore/another important” transitions; movement must follow chronology with one controlled shift in perspective.</x:v>
      </x:c>
      <x:c r="U8" s="17" t="str">
        <x:v>Do not use “In conclusion”, “Taken together”, a generic call to action, or a thesis recap; end through a forward time marker.</x:v>
      </x:c>
      <x:c r="V8" s="17" t="str">
        <x:v>Keep lexical and structural distance from paired brief ECV2-ART-008 (“How retrieval practice strengthens long-term recall”) and from the same Topic in other genres. Avoid benefits-list prose, institutional boilerplate and substituted-noun variants. Do not reuse wording, paragraph order or conclusions from “Why Slow Practice Works”; its former copy is reference-only.</x:v>
      </x:c>
      <x:c r="W8" s="18" t="str">
        <x:v>No</x:v>
      </x:c>
      <x:c r="X8" s="18" t="str">
        <x:v>No</x:v>
      </x:c>
      <x:c r="Y8" s="18" t="str">
        <x:v>No</x:v>
      </x:c>
      <x:c r="Z8" s="18" t="str">
        <x:v>No</x:v>
      </x:c>
      <x:c r="AA8" s="18" t="str">
        <x:v>No</x:v>
      </x:c>
      <x:c r="AB8" s="18" t="str">
        <x:v>No</x:v>
      </x:c>
      <x:c r="AC8" s="18" t="str">
        <x:v>No</x:v>
      </x:c>
      <x:c r="AD8" s="18" t="str">
        <x:v>No</x:v>
      </x:c>
      <x:c r="AE8" s="18" t="str">
        <x:v>No</x:v>
      </x:c>
    </x:row>
    <x:row r="9" ht="64" customHeight="1">
      <x:c r="A9" s="16" t="str">
        <x:v>ECV2-ART-008</x:v>
      </x:c>
      <x:c r="B9" s="16" t="str">
        <x:v>NEW</x:v>
      </x:c>
      <x:c r="C9" s="16" t="str">
        <x:v>NEW</x:v>
      </x:c>
      <x:c r="D9" s="16" t="str">
        <x:v>NEW</x:v>
      </x:c>
      <x:c r="E9" s="16" t="str">
        <x:v>Articles</x:v>
      </x:c>
      <x:c r="F9" s="16" t="str">
        <x:v>Education &amp; learning</x:v>
      </x:c>
      <x:c r="G9" s="16" t="str">
        <x:v>Practical guide</x:v>
      </x:c>
      <x:c r="H9" s="17" t="str">
        <x:v>How retrieval practice strengthens long-term recall</x:v>
      </x:c>
      <x:c r="I9" s="17" t="str">
        <x:v>Give readers concrete, bounded guidance about “How retrieval practice strengthens long-term recall”.</x:v>
      </x:c>
      <x:c r="J9" s="17" t="str">
        <x:v>Readers seeking a clear, evidence-aware explanation</x:v>
      </x:c>
      <x:c r="K9" s="17" t="str">
        <x:v>Compact</x:v>
      </x:c>
      <x:c r="L9" s="17" t="str">
        <x:v>140–199 words</x:v>
      </x:c>
      <x:c r="M9" s="17" t="str">
        <x:v>Accessible</x:v>
      </x:c>
      <x:c r="N9" s="17" t="str">
        <x:v>Measured analytical British English</x:v>
      </x:c>
      <x:c r="O9" s="17" t="str">
        <x:v>Second person where guidance requires it</x:v>
      </x:c>
      <x:c r="P9" s="17" t="str">
        <x:v>Present and present perfect</x:v>
      </x:c>
      <x:c r="Q9" s="17" t="str">
        <x:v>3 paragraphs: open with an exception that challenges the usual assumption; develop through chronology with one controlled shift in perspective; close with the next decision that must be made.</x:v>
      </x:c>
      <x:c r="R9" s="17" t="str">
        <x:v>Use a semicolon naturally; Use at least one genuine question. Do not add other marked features artificially.</x:v>
      </x:c>
      <x:c r="S9" s="17" t="str">
        <x:v>Do not restate the title; do not open with “Education &amp; learning is important”, “This article/message/proposal sets out…”, “The following…”, or any legacy family formula.</x:v>
      </x:c>
      <x:c r="T9" s="17" t="str">
        <x:v>No First/Secondly/Finally ladder; avoid stock “moreover/furthermore/another important” transitions; movement must follow chronology with one controlled shift in perspective.</x:v>
      </x:c>
      <x:c r="U9" s="17" t="str">
        <x:v>Do not use “In conclusion”, “Taken together”, a generic call to action, or a thesis recap; end through the next decision that must be made.</x:v>
      </x:c>
      <x:c r="V9" s="17" t="str">
        <x:v>Keep lexical and structural distance from paired brief ECV2-ART-007 (“Why slow practice exposes errors before speed hides them”) and from the same Topic in other genres. Avoid benefits-list prose, institutional boilerplate and substituted-noun variants.</x:v>
      </x:c>
      <x:c r="W9" s="18" t="str">
        <x:v>No</x:v>
      </x:c>
      <x:c r="X9" s="18" t="str">
        <x:v>No</x:v>
      </x:c>
      <x:c r="Y9" s="18" t="str">
        <x:v>No</x:v>
      </x:c>
      <x:c r="Z9" s="18" t="str">
        <x:v>No</x:v>
      </x:c>
      <x:c r="AA9" s="18" t="str">
        <x:v>No</x:v>
      </x:c>
      <x:c r="AB9" s="18" t="str">
        <x:v>Yes</x:v>
      </x:c>
      <x:c r="AC9" s="18" t="str">
        <x:v>No</x:v>
      </x:c>
      <x:c r="AD9" s="18" t="str">
        <x:v>Yes</x:v>
      </x:c>
      <x:c r="AE9" s="18" t="str">
        <x:v>No</x:v>
      </x:c>
    </x:row>
    <x:row r="10" ht="64" customHeight="1">
      <x:c r="A10" s="16" t="str">
        <x:v>ECV2-ART-009</x:v>
      </x:c>
      <x:c r="B10" s="16" t="str">
        <x:v>NEW</x:v>
      </x:c>
      <x:c r="C10" s="16" t="str">
        <x:v>NEW</x:v>
      </x:c>
      <x:c r="D10" s="16" t="str">
        <x:v>NEW</x:v>
      </x:c>
      <x:c r="E10" s="16" t="str">
        <x:v>Articles</x:v>
      </x:c>
      <x:c r="F10" s="16" t="str">
        <x:v>Environment &amp; sustainability</x:v>
      </x:c>
      <x:c r="G10" s="16" t="str">
        <x:v>Feature</x:v>
      </x:c>
      <x:c r="H10" s="17" t="str">
        <x:v>What happens after household recycling leaves the kerb</x:v>
      </x:c>
      <x:c r="I10" s="17" t="str">
        <x:v>Reveal the people, process and context behind “What happens after household recycling leaves the kerb”.</x:v>
      </x:c>
      <x:c r="J10" s="17" t="str">
        <x:v>Interested general readers</x:v>
      </x:c>
      <x:c r="K10" s="17" t="str">
        <x:v>Extended</x:v>
      </x:c>
      <x:c r="L10" s="17" t="str">
        <x:v>350–500 words</x:v>
      </x:c>
      <x:c r="M10" s="17" t="str">
        <x:v>Core</x:v>
      </x:c>
      <x:c r="N10" s="17" t="str">
        <x:v>Accessible feature-writing register</x:v>
      </x:c>
      <x:c r="O10" s="17" t="str">
        <x:v>Mixed third person and attributed voice</x:v>
      </x:c>
      <x:c r="P10" s="17" t="str">
        <x:v>Past-to-present progression</x:v>
      </x:c>
      <x:c r="Q10" s="17" t="str">
        <x:v>7 paragraphs: open with the practical consequence before its cause; develop through chronology with one controlled shift in perspective; close with one measurable consequence.</x:v>
      </x:c>
      <x:c r="R10" s="17" t="str">
        <x:v>Include a purposeful direct quotation using straight single quotation marks; Use a colon naturally. Do not add other marked features artificially.</x:v>
      </x:c>
      <x:c r="S10" s="17" t="str">
        <x:v>Do not restate the title; do not open with “Environment &amp; sustainability is important”, “This article/message/proposal sets out…”, “The following…”, or any legacy family formula.</x:v>
      </x:c>
      <x:c r="T10" s="17" t="str">
        <x:v>No First/Secondly/Finally ladder; avoid stock “moreover/furthermore/another important” transitions; movement must follow chronology with one controlled shift in perspective.</x:v>
      </x:c>
      <x:c r="U10" s="17" t="str">
        <x:v>Do not use “In conclusion”, “Taken together”, a generic call to action, or a thesis recap; end through one measurable consequence.</x:v>
      </x:c>
      <x:c r="V10" s="17" t="str">
        <x:v>Keep lexical and structural distance from paired brief ECV2-ART-010 (“How urban trees reduce heat at street level”) and from the same Topic in other genres. Avoid benefits-list prose, institutional boilerplate and substituted-noun variants.</x:v>
      </x:c>
      <x:c r="W10" s="18" t="str">
        <x:v>No</x:v>
      </x:c>
      <x:c r="X10" s="18" t="str">
        <x:v>No</x:v>
      </x:c>
      <x:c r="Y10" s="18" t="str">
        <x:v>No</x:v>
      </x:c>
      <x:c r="Z10" s="18" t="str">
        <x:v>Yes</x:v>
      </x:c>
      <x:c r="AA10" s="18" t="str">
        <x:v>Yes</x:v>
      </x:c>
      <x:c r="AB10" s="18" t="str">
        <x:v>No</x:v>
      </x:c>
      <x:c r="AC10" s="18" t="str">
        <x:v>No</x:v>
      </x:c>
      <x:c r="AD10" s="18" t="str">
        <x:v>No</x:v>
      </x:c>
      <x:c r="AE10" s="18" t="str">
        <x:v>No</x:v>
      </x:c>
    </x:row>
    <x:row r="11" ht="64" customHeight="1">
      <x:c r="A11" s="16" t="str">
        <x:v>ECV2-ART-010</x:v>
      </x:c>
      <x:c r="B11" s="16" t="str">
        <x:v>NEW</x:v>
      </x:c>
      <x:c r="C11" s="16" t="str">
        <x:v>NEW</x:v>
      </x:c>
      <x:c r="D11" s="16" t="str">
        <x:v>NEW</x:v>
      </x:c>
      <x:c r="E11" s="16" t="str">
        <x:v>Articles</x:v>
      </x:c>
      <x:c r="F11" s="16" t="str">
        <x:v>Environment &amp; sustainability</x:v>
      </x:c>
      <x:c r="G11" s="16" t="str">
        <x:v>Analysis</x:v>
      </x:c>
      <x:c r="H11" s="17" t="str">
        <x:v>How urban trees reduce heat at street level</x:v>
      </x:c>
      <x:c r="I11" s="17" t="str">
        <x:v>Test the evidence and trade-offs around “How urban trees reduce heat at street level”.</x:v>
      </x:c>
      <x:c r="J11" s="17" t="str">
        <x:v>Readers seeking a clear, evidence-aware explanation</x:v>
      </x:c>
      <x:c r="K11" s="17" t="str">
        <x:v>Extended</x:v>
      </x:c>
      <x:c r="L11" s="17" t="str">
        <x:v>350–500 words</x:v>
      </x:c>
      <x:c r="M11" s="17" t="str">
        <x:v>Challenging</x:v>
      </x:c>
      <x:c r="N11" s="17" t="str">
        <x:v>Clear editorial British English</x:v>
      </x:c>
      <x:c r="O11" s="17" t="str">
        <x:v>Third person</x:v>
      </x:c>
      <x:c r="P11" s="17" t="str">
        <x:v>Present with bounded past examples</x:v>
      </x:c>
      <x:c r="Q11" s="17" t="str">
        <x:v>5 paragraphs: open with a stakeholder voice; develop through chronology with one controlled shift in perspective; close with the exception that still needs attention.</x:v>
      </x:c>
      <x:c r="R11" s="17" t="str">
        <x:v>Use at least one contextual Arabic numeral; Include a percentage, currency amount or measurement. Do not add other marked features artificially.</x:v>
      </x:c>
      <x:c r="S11" s="17" t="str">
        <x:v>Do not restate the title; do not open with “Environment &amp; sustainability is important”, “This article/message/proposal sets out…”, “The following…”, or any legacy family formula.</x:v>
      </x:c>
      <x:c r="T11" s="17" t="str">
        <x:v>No First/Secondly/Finally ladder; avoid stock “moreover/furthermore/another important” transitions; movement must follow chronology with one controlled shift in perspective.</x:v>
      </x:c>
      <x:c r="U11" s="17" t="str">
        <x:v>Do not use “In conclusion”, “Taken together”, a generic call to action, or a thesis recap; end through the exception that still needs attention.</x:v>
      </x:c>
      <x:c r="V11" s="17" t="str">
        <x:v>Keep lexical and structural distance from paired brief ECV2-ART-009 (“What happens after household recycling leaves the kerb”) and from the same Topic in other genres. Avoid benefits-list prose, institutional boilerplate and substituted-noun variants.</x:v>
      </x:c>
      <x:c r="W11" s="18" t="str">
        <x:v>Yes</x:v>
      </x:c>
      <x:c r="X11" s="18" t="str">
        <x:v>No</x:v>
      </x:c>
      <x:c r="Y11" s="18" t="str">
        <x:v>Yes</x:v>
      </x:c>
      <x:c r="Z11" s="18" t="str">
        <x:v>No</x:v>
      </x:c>
      <x:c r="AA11" s="18" t="str">
        <x:v>No</x:v>
      </x:c>
      <x:c r="AB11" s="18" t="str">
        <x:v>No</x:v>
      </x:c>
      <x:c r="AC11" s="18" t="str">
        <x:v>No</x:v>
      </x:c>
      <x:c r="AD11" s="18" t="str">
        <x:v>No</x:v>
      </x:c>
      <x:c r="AE11" s="18" t="str">
        <x:v>No</x:v>
      </x:c>
    </x:row>
    <x:row r="12" ht="64" customHeight="1">
      <x:c r="A12" s="16" t="str">
        <x:v>ECV2-ART-011</x:v>
      </x:c>
      <x:c r="B12" s="16" t="str">
        <x:v>NEW</x:v>
      </x:c>
      <x:c r="C12" s="16" t="str">
        <x:v>NEW</x:v>
      </x:c>
      <x:c r="D12" s="16" t="str">
        <x:v>NEW</x:v>
      </x:c>
      <x:c r="E12" s="16" t="str">
        <x:v>Articles</x:v>
      </x:c>
      <x:c r="F12" s="16" t="str">
        <x:v>Transport, housing &amp; places</x:v>
      </x:c>
      <x:c r="G12" s="16" t="str">
        <x:v>Analysis</x:v>
      </x:c>
      <x:c r="H12" s="17" t="str">
        <x:v>Why reliable bus services need recovery time between journeys</x:v>
      </x:c>
      <x:c r="I12" s="17" t="str">
        <x:v>Test the evidence and trade-offs around “Why reliable bus services need recovery time between journeys”.</x:v>
      </x:c>
      <x:c r="J12" s="17" t="str">
        <x:v>Interested general readers</x:v>
      </x:c>
      <x:c r="K12" s="17" t="str">
        <x:v>Extended</x:v>
      </x:c>
      <x:c r="L12" s="17" t="str">
        <x:v>350–500 words</x:v>
      </x:c>
      <x:c r="M12" s="17" t="str">
        <x:v>Core</x:v>
      </x:c>
      <x:c r="N12" s="17" t="str">
        <x:v>Measured analytical British English</x:v>
      </x:c>
      <x:c r="O12" s="17" t="str">
        <x:v>Second person where guidance requires it</x:v>
      </x:c>
      <x:c r="P12" s="17" t="str">
        <x:v>Present and present perfect</x:v>
      </x:c>
      <x:c r="Q12" s="17" t="str">
        <x:v>6 paragraphs: open with a process already in motion; develop through chronology with one controlled shift in perspective; close with the next decision that must be made.</x:v>
      </x:c>
      <x:c r="R12" s="17" t="str">
        <x:v>Use at least one contextual Arabic numeral; Include a date or time. Do not add other marked features artificially.</x:v>
      </x:c>
      <x:c r="S12" s="17" t="str">
        <x:v>Do not restate the title; do not open with “Transport, housing &amp; places is important”, “This article/message/proposal sets out…”, “The following…”, or any legacy family formula.</x:v>
      </x:c>
      <x:c r="T12" s="17" t="str">
        <x:v>No First/Secondly/Finally ladder; avoid stock “moreover/furthermore/another important” transitions; movement must follow chronology with one controlled shift in perspective.</x:v>
      </x:c>
      <x:c r="U12" s="17" t="str">
        <x:v>Do not use “In conclusion”, “Taken together”, a generic call to action, or a thesis recap; end through the next decision that must be made.</x:v>
      </x:c>
      <x:c r="V12" s="17" t="str">
        <x:v>Keep lexical and structural distance from paired brief ECV2-ART-012 (“How mixed-use neighbourhoods alter daily travel”) and from the same Topic in other genres. Avoid benefits-list prose, institutional boilerplate and substituted-noun variants.</x:v>
      </x:c>
      <x:c r="W12" s="18" t="str">
        <x:v>Yes</x:v>
      </x:c>
      <x:c r="X12" s="18" t="str">
        <x:v>Yes</x:v>
      </x:c>
      <x:c r="Y12" s="18" t="str">
        <x:v>No</x:v>
      </x:c>
      <x:c r="Z12" s="18" t="str">
        <x:v>No</x:v>
      </x:c>
      <x:c r="AA12" s="18" t="str">
        <x:v>No</x:v>
      </x:c>
      <x:c r="AB12" s="18" t="str">
        <x:v>No</x:v>
      </x:c>
      <x:c r="AC12" s="18" t="str">
        <x:v>No</x:v>
      </x:c>
      <x:c r="AD12" s="18" t="str">
        <x:v>No</x:v>
      </x:c>
      <x:c r="AE12" s="18" t="str">
        <x:v>No</x:v>
      </x:c>
    </x:row>
    <x:row r="13" ht="64" customHeight="1">
      <x:c r="A13" s="16" t="str">
        <x:v>ECV2-ART-012</x:v>
      </x:c>
      <x:c r="B13" s="16" t="str">
        <x:v>NEW</x:v>
      </x:c>
      <x:c r="C13" s="16" t="str">
        <x:v>NEW</x:v>
      </x:c>
      <x:c r="D13" s="16" t="str">
        <x:v>NEW</x:v>
      </x:c>
      <x:c r="E13" s="16" t="str">
        <x:v>Articles</x:v>
      </x:c>
      <x:c r="F13" s="16" t="str">
        <x:v>Transport, housing &amp; places</x:v>
      </x:c>
      <x:c r="G13" s="16" t="str">
        <x:v>Opinion &amp; commentary</x:v>
      </x:c>
      <x:c r="H13" s="17" t="str">
        <x:v>How mixed-use neighbourhoods alter daily travel</x:v>
      </x:c>
      <x:c r="I13" s="17" t="str">
        <x:v>Advance a measured position on “How mixed-use neighbourhoods alter daily travel”.</x:v>
      </x:c>
      <x:c r="J13" s="17" t="str">
        <x:v>Readers seeking a clear, evidence-aware explanation</x:v>
      </x:c>
      <x:c r="K13" s="17" t="str">
        <x:v>Standard</x:v>
      </x:c>
      <x:c r="L13" s="17" t="str">
        <x:v>200–349 words</x:v>
      </x:c>
      <x:c r="M13" s="17" t="str">
        <x:v>Core</x:v>
      </x:c>
      <x:c r="N13" s="17" t="str">
        <x:v>Accessible feature-writing register</x:v>
      </x:c>
      <x:c r="O13" s="17" t="str">
        <x:v>Mixed third person and attributed voice</x:v>
      </x:c>
      <x:c r="P13" s="17" t="str">
        <x:v>Past-to-present progression</x:v>
      </x:c>
      <x:c r="Q13" s="17" t="str">
        <x:v>5 paragraphs: open with a corrected misconception; develop through chronology with one controlled shift in perspective; close with one measurable consequence.</x:v>
      </x:c>
      <x:c r="R13" s="17" t="str">
        <x:v>Use a semicolon naturally; Use one necessary parenthetical phrase. Do not add other marked features artificially.</x:v>
      </x:c>
      <x:c r="S13" s="17" t="str">
        <x:v>Do not restate the title; do not open with “Transport, housing &amp; places is important”, “This article/message/proposal sets out…”, “The following…”, or any legacy family formula.</x:v>
      </x:c>
      <x:c r="T13" s="17" t="str">
        <x:v>No First/Secondly/Finally ladder; avoid stock “moreover/furthermore/another important” transitions; movement must follow chronology with one controlled shift in perspective.</x:v>
      </x:c>
      <x:c r="U13" s="17" t="str">
        <x:v>Do not use “In conclusion”, “Taken together”, a generic call to action, or a thesis recap; end through one measurable consequence.</x:v>
      </x:c>
      <x:c r="V13" s="17" t="str">
        <x:v>Keep lexical and structural distance from paired brief ECV2-ART-011 (“Why reliable bus services need recovery time between journeys”) and from the same Topic in other genres. Avoid benefits-list prose, institutional boilerplate and substituted-noun variants.</x:v>
      </x:c>
      <x:c r="W13" s="18" t="str">
        <x:v>No</x:v>
      </x:c>
      <x:c r="X13" s="18" t="str">
        <x:v>No</x:v>
      </x:c>
      <x:c r="Y13" s="18" t="str">
        <x:v>No</x:v>
      </x:c>
      <x:c r="Z13" s="18" t="str">
        <x:v>No</x:v>
      </x:c>
      <x:c r="AA13" s="18" t="str">
        <x:v>No</x:v>
      </x:c>
      <x:c r="AB13" s="18" t="str">
        <x:v>Yes</x:v>
      </x:c>
      <x:c r="AC13" s="18" t="str">
        <x:v>Yes</x:v>
      </x:c>
      <x:c r="AD13" s="18" t="str">
        <x:v>No</x:v>
      </x:c>
      <x:c r="AE13" s="18" t="str">
        <x:v>No</x:v>
      </x:c>
    </x:row>
    <x:row r="14" ht="64" customHeight="1">
      <x:c r="A14" s="16" t="str">
        <x:v>ECV2-ART-013</x:v>
      </x:c>
      <x:c r="B14" s="16" t="str">
        <x:v>NEW</x:v>
      </x:c>
      <x:c r="C14" s="16" t="str">
        <x:v>NEW</x:v>
      </x:c>
      <x:c r="D14" s="16" t="str">
        <x:v>NEW</x:v>
      </x:c>
      <x:c r="E14" s="16" t="str">
        <x:v>Articles</x:v>
      </x:c>
      <x:c r="F14" s="16" t="str">
        <x:v>Money &amp; the economy</x:v>
      </x:c>
      <x:c r="G14" s="16" t="str">
        <x:v>Practical guide</x:v>
      </x:c>
      <x:c r="H14" s="17" t="str">
        <x:v>How compound interest behaves when rates change</x:v>
      </x:c>
      <x:c r="I14" s="17" t="str">
        <x:v>Give readers concrete, bounded guidance about “How compound interest behaves when rates change”.</x:v>
      </x:c>
      <x:c r="J14" s="17" t="str">
        <x:v>Interested general readers</x:v>
      </x:c>
      <x:c r="K14" s="17" t="str">
        <x:v>Standard</x:v>
      </x:c>
      <x:c r="L14" s="17" t="str">
        <x:v>200–349 words</x:v>
      </x:c>
      <x:c r="M14" s="17" t="str">
        <x:v>Accessible</x:v>
      </x:c>
      <x:c r="N14" s="17" t="str">
        <x:v>Clear editorial British English</x:v>
      </x:c>
      <x:c r="O14" s="17" t="str">
        <x:v>Third person</x:v>
      </x:c>
      <x:c r="P14" s="17" t="str">
        <x:v>Present with bounded past examples</x:v>
      </x:c>
      <x:c r="Q14" s="17" t="str">
        <x:v>3 paragraphs: open with one meaningful data point; develop through chronology with one controlled shift in perspective; close with the exception that still needs attention.</x:v>
      </x:c>
      <x:c r="R14" s="17" t="str">
        <x:v>Use at least one contextual Arabic numeral; Include a percentage, currency amount or measurement; Use a colon naturally. Do not add other marked features artificially.</x:v>
      </x:c>
      <x:c r="S14" s="17" t="str">
        <x:v>Do not restate the title; do not open with “Money &amp; the economy is important”, “This article/message/proposal sets out…”, “The following…”, or any legacy family formula.</x:v>
      </x:c>
      <x:c r="T14" s="17" t="str">
        <x:v>No First/Secondly/Finally ladder; avoid stock “moreover/furthermore/another important” transitions; movement must follow chronology with one controlled shift in perspective.</x:v>
      </x:c>
      <x:c r="U14" s="17" t="str">
        <x:v>Do not use “In conclusion”, “Taken together”, a generic call to action, or a thesis recap; end through the exception that still needs attention.</x:v>
      </x:c>
      <x:c r="V14" s="17" t="str">
        <x:v>Keep lexical and structural distance from paired brief ECV2-ART-014 (“Why annual household costs defeat monthly budgets”) and from the same Topic in other genres. Avoid benefits-list prose, institutional boilerplate and substituted-noun variants.</x:v>
      </x:c>
      <x:c r="W14" s="18" t="str">
        <x:v>Yes</x:v>
      </x:c>
      <x:c r="X14" s="18" t="str">
        <x:v>No</x:v>
      </x:c>
      <x:c r="Y14" s="18" t="str">
        <x:v>Yes</x:v>
      </x:c>
      <x:c r="Z14" s="18" t="str">
        <x:v>No</x:v>
      </x:c>
      <x:c r="AA14" s="18" t="str">
        <x:v>Yes</x:v>
      </x:c>
      <x:c r="AB14" s="18" t="str">
        <x:v>No</x:v>
      </x:c>
      <x:c r="AC14" s="18" t="str">
        <x:v>No</x:v>
      </x:c>
      <x:c r="AD14" s="18" t="str">
        <x:v>No</x:v>
      </x:c>
      <x:c r="AE14" s="18" t="str">
        <x:v>No</x:v>
      </x:c>
    </x:row>
    <x:row r="15" ht="64" customHeight="1">
      <x:c r="A15" s="16" t="str">
        <x:v>ECV2-ART-014</x:v>
      </x:c>
      <x:c r="B15" s="16" t="str">
        <x:v>NEW</x:v>
      </x:c>
      <x:c r="C15" s="16" t="str">
        <x:v>NEW</x:v>
      </x:c>
      <x:c r="D15" s="16" t="str">
        <x:v>NEW</x:v>
      </x:c>
      <x:c r="E15" s="16" t="str">
        <x:v>Articles</x:v>
      </x:c>
      <x:c r="F15" s="16" t="str">
        <x:v>Money &amp; the economy</x:v>
      </x:c>
      <x:c r="G15" s="16" t="str">
        <x:v>Practical guide</x:v>
      </x:c>
      <x:c r="H15" s="17" t="str">
        <x:v>Why annual household costs defeat monthly budgets</x:v>
      </x:c>
      <x:c r="I15" s="17" t="str">
        <x:v>Give readers concrete, bounded guidance about “Why annual household costs defeat monthly budgets”.</x:v>
      </x:c>
      <x:c r="J15" s="17" t="str">
        <x:v>Readers seeking a clear, evidence-aware explanation</x:v>
      </x:c>
      <x:c r="K15" s="17" t="str">
        <x:v>Standard</x:v>
      </x:c>
      <x:c r="L15" s="17" t="str">
        <x:v>200–349 words</x:v>
      </x:c>
      <x:c r="M15" s="17" t="str">
        <x:v>Accessible</x:v>
      </x:c>
      <x:c r="N15" s="17" t="str">
        <x:v>Measured analytical British English</x:v>
      </x:c>
      <x:c r="O15" s="17" t="str">
        <x:v>Second person where guidance requires it</x:v>
      </x:c>
      <x:c r="P15" s="17" t="str">
        <x:v>Present and present perfect</x:v>
      </x:c>
      <x:c r="Q15" s="17" t="str">
        <x:v>4 paragraphs: open with a physical place or object; develop through chronology with one controlled shift in perspective; close with an unresolved but specific implication.</x:v>
      </x:c>
      <x:c r="R15" s="17" t="str">
        <x:v>Use at least one genuine question. Do not add other marked features artificially.</x:v>
      </x:c>
      <x:c r="S15" s="17" t="str">
        <x:v>Do not restate the title; do not open with “Money &amp; the economy is important”, “This article/message/proposal sets out…”, “The following…”, or any legacy family formula.</x:v>
      </x:c>
      <x:c r="T15" s="17" t="str">
        <x:v>No First/Secondly/Finally ladder; avoid stock “moreover/furthermore/another important” transitions; movement must follow chronology with one controlled shift in perspective.</x:v>
      </x:c>
      <x:c r="U15" s="17" t="str">
        <x:v>Do not use “In conclusion”, “Taken together”, a generic call to action, or a thesis recap; end through an unresolved but specific implication.</x:v>
      </x:c>
      <x:c r="V15" s="17" t="str">
        <x:v>Keep lexical and structural distance from paired brief ECV2-ART-013 (“How compound interest behaves when rates change”) and from the same Topic in other genres. Avoid benefits-list prose, institutional boilerplate and substituted-noun variants.</x:v>
      </x:c>
      <x:c r="W15" s="18" t="str">
        <x:v>No</x:v>
      </x:c>
      <x:c r="X15" s="18" t="str">
        <x:v>No</x:v>
      </x:c>
      <x:c r="Y15" s="18" t="str">
        <x:v>No</x:v>
      </x:c>
      <x:c r="Z15" s="18" t="str">
        <x:v>No</x:v>
      </x:c>
      <x:c r="AA15" s="18" t="str">
        <x:v>No</x:v>
      </x:c>
      <x:c r="AB15" s="18" t="str">
        <x:v>No</x:v>
      </x:c>
      <x:c r="AC15" s="18" t="str">
        <x:v>No</x:v>
      </x:c>
      <x:c r="AD15" s="18" t="str">
        <x:v>Yes</x:v>
      </x:c>
      <x:c r="AE15" s="18" t="str">
        <x:v>No</x:v>
      </x:c>
    </x:row>
    <x:row r="16" ht="64" customHeight="1">
      <x:c r="A16" s="16" t="str">
        <x:v>ECV2-ART-015</x:v>
      </x:c>
      <x:c r="B16" s="16" t="str">
        <x:v>NEW</x:v>
      </x:c>
      <x:c r="C16" s="16" t="str">
        <x:v>NEW</x:v>
      </x:c>
      <x:c r="D16" s="16" t="str">
        <x:v>NEW</x:v>
      </x:c>
      <x:c r="E16" s="16" t="str">
        <x:v>Articles</x:v>
      </x:c>
      <x:c r="F16" s="16" t="str">
        <x:v>Public services &amp; civic life</x:v>
      </x:c>
      <x:c r="G16" s="16" t="str">
        <x:v>Feature</x:v>
      </x:c>
      <x:c r="H16" s="17" t="str">
        <x:v>How consultation responses become public decisions</x:v>
      </x:c>
      <x:c r="I16" s="17" t="str">
        <x:v>Reveal the people, process and context behind “How consultation responses become public decisions”.</x:v>
      </x:c>
      <x:c r="J16" s="17" t="str">
        <x:v>Interested general readers</x:v>
      </x:c>
      <x:c r="K16" s="17" t="str">
        <x:v>Extended</x:v>
      </x:c>
      <x:c r="L16" s="17" t="str">
        <x:v>350–500 words</x:v>
      </x:c>
      <x:c r="M16" s="17" t="str">
        <x:v>Core</x:v>
      </x:c>
      <x:c r="N16" s="17" t="str">
        <x:v>Accessible feature-writing register</x:v>
      </x:c>
      <x:c r="O16" s="17" t="str">
        <x:v>Mixed third person and attributed voice</x:v>
      </x:c>
      <x:c r="P16" s="17" t="str">
        <x:v>Past-to-present progression</x:v>
      </x:c>
      <x:c r="Q16" s="17" t="str">
        <x:v>7 paragraphs: open with a concrete action already under way; develop through cause, mechanism and consequence; close with a practical boundary rather than a promise.</x:v>
      </x:c>
      <x:c r="R16" s="17" t="str">
        <x:v>Use at least one contextual Arabic numeral; Include a purposeful direct quotation using straight single quotation marks. Do not add other marked features artificially.</x:v>
      </x:c>
      <x:c r="S16" s="17" t="str">
        <x:v>Do not restate the title; do not open with “Public services &amp; civic life is important”, “This article/message/proposal sets out…”, “The following…”, or any legacy family formula.</x:v>
      </x:c>
      <x:c r="T16" s="17" t="str">
        <x:v>No First/Secondly/Finally ladder; avoid stock “moreover/furthermore/another important” transitions; movement must follow cause, mechanism and consequence.</x:v>
      </x:c>
      <x:c r="U16" s="17" t="str">
        <x:v>Do not use “In conclusion”, “Taken together”, a generic call to action, or a thesis recap; end through a practical boundary rather than a promise.</x:v>
      </x:c>
      <x:c r="V16" s="17" t="str">
        <x:v>Keep lexical and structural distance from paired brief ECV2-ART-016 (“What public service standards can and cannot guarantee”) and from the same Topic in other genres. Avoid benefits-list prose, institutional boilerplate and substituted-noun variants.</x:v>
      </x:c>
      <x:c r="W16" s="18" t="str">
        <x:v>Yes</x:v>
      </x:c>
      <x:c r="X16" s="18" t="str">
        <x:v>No</x:v>
      </x:c>
      <x:c r="Y16" s="18" t="str">
        <x:v>No</x:v>
      </x:c>
      <x:c r="Z16" s="18" t="str">
        <x:v>Yes</x:v>
      </x:c>
      <x:c r="AA16" s="18" t="str">
        <x:v>No</x:v>
      </x:c>
      <x:c r="AB16" s="18" t="str">
        <x:v>No</x:v>
      </x:c>
      <x:c r="AC16" s="18" t="str">
        <x:v>No</x:v>
      </x:c>
      <x:c r="AD16" s="18" t="str">
        <x:v>No</x:v>
      </x:c>
      <x:c r="AE16" s="18" t="str">
        <x:v>No</x:v>
      </x:c>
    </x:row>
    <x:row r="17" ht="64" customHeight="1">
      <x:c r="A17" s="16" t="str">
        <x:v>ECV2-ART-016</x:v>
      </x:c>
      <x:c r="B17" s="16" t="str">
        <x:v>NEW</x:v>
      </x:c>
      <x:c r="C17" s="16" t="str">
        <x:v>NEW</x:v>
      </x:c>
      <x:c r="D17" s="16" t="str">
        <x:v>NEW</x:v>
      </x:c>
      <x:c r="E17" s="16" t="str">
        <x:v>Articles</x:v>
      </x:c>
      <x:c r="F17" s="16" t="str">
        <x:v>Public services &amp; civic life</x:v>
      </x:c>
      <x:c r="G17" s="16" t="str">
        <x:v>Opinion &amp; commentary</x:v>
      </x:c>
      <x:c r="H17" s="17" t="str">
        <x:v>What public service standards can and cannot guarantee</x:v>
      </x:c>
      <x:c r="I17" s="17" t="str">
        <x:v>Advance a measured position on “What public service standards can and cannot guarantee”.</x:v>
      </x:c>
      <x:c r="J17" s="17" t="str">
        <x:v>Readers seeking a clear, evidence-aware explanation</x:v>
      </x:c>
      <x:c r="K17" s="17" t="str">
        <x:v>Standard</x:v>
      </x:c>
      <x:c r="L17" s="17" t="str">
        <x:v>200–349 words</x:v>
      </x:c>
      <x:c r="M17" s="17" t="str">
        <x:v>Challenging</x:v>
      </x:c>
      <x:c r="N17" s="17" t="str">
        <x:v>Clear editorial British English</x:v>
      </x:c>
      <x:c r="O17" s="17" t="str">
        <x:v>Third person</x:v>
      </x:c>
      <x:c r="P17" s="17" t="str">
        <x:v>Present with bounded past examples</x:v>
      </x:c>
      <x:c r="Q17" s="17" t="str">
        <x:v>3 paragraphs: open with a brief contrast between expectation and result; develop through cause, mechanism and consequence; close with a concrete next action.</x:v>
      </x:c>
      <x:c r="R17" s="17" t="str">
        <x:v>Use a semicolon naturally; Use at least one genuine question. Do not add other marked features artificially.</x:v>
      </x:c>
      <x:c r="S17" s="17" t="str">
        <x:v>Do not restate the title; do not open with “Public services &amp; civic life is important”, “This article/message/proposal sets out…”, “The following…”, or any legacy family formula.</x:v>
      </x:c>
      <x:c r="T17" s="17" t="str">
        <x:v>No First/Secondly/Finally ladder; avoid stock “moreover/furthermore/another important” transitions; movement must follow cause, mechanism and consequence.</x:v>
      </x:c>
      <x:c r="U17" s="17" t="str">
        <x:v>Do not use “In conclusion”, “Taken together”, a generic call to action, or a thesis recap; end through a concrete next action.</x:v>
      </x:c>
      <x:c r="V17" s="17" t="str">
        <x:v>Keep lexical and structural distance from paired brief ECV2-ART-015 (“How consultation responses become public decisions”) and from the same Topic in other genres. Avoid benefits-list prose, institutional boilerplate and substituted-noun variants.</x:v>
      </x:c>
      <x:c r="W17" s="18" t="str">
        <x:v>No</x:v>
      </x:c>
      <x:c r="X17" s="18" t="str">
        <x:v>No</x:v>
      </x:c>
      <x:c r="Y17" s="18" t="str">
        <x:v>No</x:v>
      </x:c>
      <x:c r="Z17" s="18" t="str">
        <x:v>No</x:v>
      </x:c>
      <x:c r="AA17" s="18" t="str">
        <x:v>No</x:v>
      </x:c>
      <x:c r="AB17" s="18" t="str">
        <x:v>Yes</x:v>
      </x:c>
      <x:c r="AC17" s="18" t="str">
        <x:v>No</x:v>
      </x:c>
      <x:c r="AD17" s="18" t="str">
        <x:v>Yes</x:v>
      </x:c>
      <x:c r="AE17" s="18" t="str">
        <x:v>No</x:v>
      </x:c>
    </x:row>
    <x:row r="18" ht="64" customHeight="1">
      <x:c r="A18" s="16" t="str">
        <x:v>ECV2-ART-017</x:v>
      </x:c>
      <x:c r="B18" s="16" t="str">
        <x:v>NEW</x:v>
      </x:c>
      <x:c r="C18" s="16" t="str">
        <x:v>NEW</x:v>
      </x:c>
      <x:c r="D18" s="16" t="str">
        <x:v>NEW</x:v>
      </x:c>
      <x:c r="E18" s="16" t="str">
        <x:v>Articles</x:v>
      </x:c>
      <x:c r="F18" s="16" t="str">
        <x:v>Family, community &amp; relationships</x:v>
      </x:c>
      <x:c r="G18" s="16" t="str">
        <x:v>Feature</x:v>
      </x:c>
      <x:c r="H18" s="17" t="str">
        <x:v>How shared calendars redistribute unpaid care work</x:v>
      </x:c>
      <x:c r="I18" s="17" t="str">
        <x:v>Reveal the people, process and context behind “How shared calendars redistribute unpaid care work”.</x:v>
      </x:c>
      <x:c r="J18" s="17" t="str">
        <x:v>Interested general readers</x:v>
      </x:c>
      <x:c r="K18" s="17" t="str">
        <x:v>Extended</x:v>
      </x:c>
      <x:c r="L18" s="17" t="str">
        <x:v>350–500 words</x:v>
      </x:c>
      <x:c r="M18" s="17" t="str">
        <x:v>Core</x:v>
      </x:c>
      <x:c r="N18" s="17" t="str">
        <x:v>Measured analytical British English</x:v>
      </x:c>
      <x:c r="O18" s="17" t="str">
        <x:v>Second person where guidance requires it</x:v>
      </x:c>
      <x:c r="P18" s="17" t="str">
        <x:v>Present and present perfect</x:v>
      </x:c>
      <x:c r="Q18" s="17" t="str">
        <x:v>6 paragraphs: open with one precise observation; develop through cause, mechanism and consequence; close with a precise takeaway without recapping every paragraph.</x:v>
      </x:c>
      <x:c r="R18" s="17" t="str">
        <x:v>Use a colon naturally. Do not add other marked features artificially.</x:v>
      </x:c>
      <x:c r="S18" s="17" t="str">
        <x:v>Do not restate the title; do not open with “Family, community &amp; relationships is important”, “This article/message/proposal sets out…”, “The following…”, or any legacy family formula.</x:v>
      </x:c>
      <x:c r="T18" s="17" t="str">
        <x:v>No First/Secondly/Finally ladder; avoid stock “moreover/furthermore/another important” transitions; movement must follow cause, mechanism and consequence.</x:v>
      </x:c>
      <x:c r="U18" s="17" t="str">
        <x:v>Do not use “In conclusion”, “Taken together”, a generic call to action, or a thesis recap; end through a precise takeaway without recapping every paragraph.</x:v>
      </x:c>
      <x:c r="V18" s="17" t="str">
        <x:v>Keep lexical and structural distance from paired brief ECV2-ART-018 (“Why intergenerational households negotiate privacy differently”) and from the same Topic in other genres. Avoid benefits-list prose, institutional boilerplate and substituted-noun variants.</x:v>
      </x:c>
      <x:c r="W18" s="18" t="str">
        <x:v>No</x:v>
      </x:c>
      <x:c r="X18" s="18" t="str">
        <x:v>No</x:v>
      </x:c>
      <x:c r="Y18" s="18" t="str">
        <x:v>No</x:v>
      </x:c>
      <x:c r="Z18" s="18" t="str">
        <x:v>No</x:v>
      </x:c>
      <x:c r="AA18" s="18" t="str">
        <x:v>Yes</x:v>
      </x:c>
      <x:c r="AB18" s="18" t="str">
        <x:v>No</x:v>
      </x:c>
      <x:c r="AC18" s="18" t="str">
        <x:v>No</x:v>
      </x:c>
      <x:c r="AD18" s="18" t="str">
        <x:v>No</x:v>
      </x:c>
      <x:c r="AE18" s="18" t="str">
        <x:v>No</x:v>
      </x:c>
    </x:row>
    <x:row r="19" ht="64" customHeight="1">
      <x:c r="A19" s="16" t="str">
        <x:v>ECV2-ART-018</x:v>
      </x:c>
      <x:c r="B19" s="16" t="str">
        <x:v>NEW</x:v>
      </x:c>
      <x:c r="C19" s="16" t="str">
        <x:v>NEW</x:v>
      </x:c>
      <x:c r="D19" s="16" t="str">
        <x:v>NEW</x:v>
      </x:c>
      <x:c r="E19" s="16" t="str">
        <x:v>Articles</x:v>
      </x:c>
      <x:c r="F19" s="16" t="str">
        <x:v>Family, community &amp; relationships</x:v>
      </x:c>
      <x:c r="G19" s="16" t="str">
        <x:v>Opinion &amp; commentary</x:v>
      </x:c>
      <x:c r="H19" s="17" t="str">
        <x:v>Why intergenerational households negotiate privacy differently</x:v>
      </x:c>
      <x:c r="I19" s="17" t="str">
        <x:v>Advance a measured position on “Why intergenerational households negotiate privacy differently”.</x:v>
      </x:c>
      <x:c r="J19" s="17" t="str">
        <x:v>Readers seeking a clear, evidence-aware explanation</x:v>
      </x:c>
      <x:c r="K19" s="17" t="str">
        <x:v>Standard</x:v>
      </x:c>
      <x:c r="L19" s="17" t="str">
        <x:v>200–349 words</x:v>
      </x:c>
      <x:c r="M19" s="17" t="str">
        <x:v>Challenging</x:v>
      </x:c>
      <x:c r="N19" s="17" t="str">
        <x:v>Accessible feature-writing register</x:v>
      </x:c>
      <x:c r="O19" s="17" t="str">
        <x:v>Mixed third person and attributed voice</x:v>
      </x:c>
      <x:c r="P19" s="17" t="str">
        <x:v>Past-to-present progression</x:v>
      </x:c>
      <x:c r="Q19" s="17" t="str">
        <x:v>5 paragraphs: open with a small case before its wider meaning; develop through cause, mechanism and consequence; close with a return to the opening image with changed meaning.</x:v>
      </x:c>
      <x:c r="R19" s="17" t="str">
        <x:v>Use one necessary parenthetical phrase. Do not add other marked features artificially.</x:v>
      </x:c>
      <x:c r="S19" s="17" t="str">
        <x:v>Do not restate the title; do not open with “Family, community &amp; relationships is important”, “This article/message/proposal sets out…”, “The following…”, or any legacy family formula.</x:v>
      </x:c>
      <x:c r="T19" s="17" t="str">
        <x:v>No First/Secondly/Finally ladder; avoid stock “moreover/furthermore/another important” transitions; movement must follow cause, mechanism and consequence.</x:v>
      </x:c>
      <x:c r="U19" s="17" t="str">
        <x:v>Do not use “In conclusion”, “Taken together”, a generic call to action, or a thesis recap; end through a return to the opening image with changed meaning.</x:v>
      </x:c>
      <x:c r="V19" s="17" t="str">
        <x:v>Keep lexical and structural distance from paired brief ECV2-ART-017 (“How shared calendars redistribute unpaid care work”) and from the same Topic in other genres. Avoid benefits-list prose, institutional boilerplate and substituted-noun variants.</x:v>
      </x:c>
      <x:c r="W19" s="18" t="str">
        <x:v>No</x:v>
      </x:c>
      <x:c r="X19" s="18" t="str">
        <x:v>No</x:v>
      </x:c>
      <x:c r="Y19" s="18" t="str">
        <x:v>No</x:v>
      </x:c>
      <x:c r="Z19" s="18" t="str">
        <x:v>No</x:v>
      </x:c>
      <x:c r="AA19" s="18" t="str">
        <x:v>No</x:v>
      </x:c>
      <x:c r="AB19" s="18" t="str">
        <x:v>No</x:v>
      </x:c>
      <x:c r="AC19" s="18" t="str">
        <x:v>Yes</x:v>
      </x:c>
      <x:c r="AD19" s="18" t="str">
        <x:v>No</x:v>
      </x:c>
      <x:c r="AE19" s="18" t="str">
        <x:v>No</x:v>
      </x:c>
    </x:row>
    <x:row r="20" ht="64" customHeight="1">
      <x:c r="A20" s="16" t="str">
        <x:v>ECV2-ART-019</x:v>
      </x:c>
      <x:c r="B20" s="16" t="str">
        <x:v>NEW</x:v>
      </x:c>
      <x:c r="C20" s="16" t="str">
        <x:v>NEW</x:v>
      </x:c>
      <x:c r="D20" s="16" t="str">
        <x:v>NEW</x:v>
      </x:c>
      <x:c r="E20" s="16" t="str">
        <x:v>Articles</x:v>
      </x:c>
      <x:c r="F20" s="16" t="str">
        <x:v>Culture, leisure &amp; everyday life</x:v>
      </x:c>
      <x:c r="G20" s="16" t="str">
        <x:v>Feature</x:v>
      </x:c>
      <x:c r="H20" s="17" t="str">
        <x:v>How museums decide what remains on display</x:v>
      </x:c>
      <x:c r="I20" s="17" t="str">
        <x:v>Reveal the people, process and context behind “How museums decide what remains on display”.</x:v>
      </x:c>
      <x:c r="J20" s="17" t="str">
        <x:v>Interested general readers</x:v>
      </x:c>
      <x:c r="K20" s="17" t="str">
        <x:v>Extended</x:v>
      </x:c>
      <x:c r="L20" s="17" t="str">
        <x:v>350–500 words</x:v>
      </x:c>
      <x:c r="M20" s="17" t="str">
        <x:v>Core</x:v>
      </x:c>
      <x:c r="N20" s="17" t="str">
        <x:v>Clear editorial British English</x:v>
      </x:c>
      <x:c r="O20" s="17" t="str">
        <x:v>Third person</x:v>
      </x:c>
      <x:c r="P20" s="17" t="str">
        <x:v>Present with bounded past examples</x:v>
      </x:c>
      <x:c r="Q20" s="17" t="str">
        <x:v>5 paragraphs: open with the immediate decision facing the reader; develop through cause, mechanism and consequence; close with a final stakeholder voice.</x:v>
      </x:c>
      <x:c r="R20" s="17" t="str">
        <x:v>Include a purposeful direct quotation using straight single quotation marks. Do not add other marked features artificially.</x:v>
      </x:c>
      <x:c r="S20" s="17" t="str">
        <x:v>Do not restate the title; do not open with “Culture, leisure &amp; everyday life is important”, “This article/message/proposal sets out…”, “The following…”, or any legacy family formula.</x:v>
      </x:c>
      <x:c r="T20" s="17" t="str">
        <x:v>No First/Secondly/Finally ladder; avoid stock “moreover/furthermore/another important” transitions; movement must follow cause, mechanism and consequence.</x:v>
      </x:c>
      <x:c r="U20" s="17" t="str">
        <x:v>Do not use “In conclusion”, “Taken together”, a generic call to action, or a thesis recap; end through a final stakeholder voice.</x:v>
      </x:c>
      <x:c r="V20" s="17" t="str">
        <x:v>Keep lexical and structural distance from paired brief ECV2-ART-020 (“Why family recipes carry memory across generations”) and from the same Topic in other genres. Avoid benefits-list prose, institutional boilerplate and substituted-noun variants.</x:v>
      </x:c>
      <x:c r="W20" s="18" t="str">
        <x:v>No</x:v>
      </x:c>
      <x:c r="X20" s="18" t="str">
        <x:v>No</x:v>
      </x:c>
      <x:c r="Y20" s="18" t="str">
        <x:v>No</x:v>
      </x:c>
      <x:c r="Z20" s="18" t="str">
        <x:v>Yes</x:v>
      </x:c>
      <x:c r="AA20" s="18" t="str">
        <x:v>No</x:v>
      </x:c>
      <x:c r="AB20" s="18" t="str">
        <x:v>No</x:v>
      </x:c>
      <x:c r="AC20" s="18" t="str">
        <x:v>No</x:v>
      </x:c>
      <x:c r="AD20" s="18" t="str">
        <x:v>No</x:v>
      </x:c>
      <x:c r="AE20" s="18" t="str">
        <x:v>No</x:v>
      </x:c>
    </x:row>
    <x:row r="21" ht="64" customHeight="1">
      <x:c r="A21" s="16" t="str">
        <x:v>ECV2-ART-020</x:v>
      </x:c>
      <x:c r="B21" s="16" t="str">
        <x:v>NEW</x:v>
      </x:c>
      <x:c r="C21" s="16" t="str">
        <x:v>NEW</x:v>
      </x:c>
      <x:c r="D21" s="16" t="str">
        <x:v>NEW</x:v>
      </x:c>
      <x:c r="E21" s="16" t="str">
        <x:v>Articles</x:v>
      </x:c>
      <x:c r="F21" s="16" t="str">
        <x:v>Culture, leisure &amp; everyday life</x:v>
      </x:c>
      <x:c r="G21" s="16" t="str">
        <x:v>Opinion &amp; commentary</x:v>
      </x:c>
      <x:c r="H21" s="17" t="str">
        <x:v>Why family recipes carry memory across generations</x:v>
      </x:c>
      <x:c r="I21" s="17" t="str">
        <x:v>Advance a measured position on “Why family recipes carry memory across generations”.</x:v>
      </x:c>
      <x:c r="J21" s="17" t="str">
        <x:v>Readers seeking a clear, evidence-aware explanation</x:v>
      </x:c>
      <x:c r="K21" s="17" t="str">
        <x:v>Standard</x:v>
      </x:c>
      <x:c r="L21" s="17" t="str">
        <x:v>200–349 words</x:v>
      </x:c>
      <x:c r="M21" s="17" t="str">
        <x:v>Challenging</x:v>
      </x:c>
      <x:c r="N21" s="17" t="str">
        <x:v>Measured analytical British English</x:v>
      </x:c>
      <x:c r="O21" s="17" t="str">
        <x:v>Second person where guidance requires it</x:v>
      </x:c>
      <x:c r="P21" s="17" t="str">
        <x:v>Present and present perfect</x:v>
      </x:c>
      <x:c r="Q21" s="17" t="str">
        <x:v>4 paragraphs: open with a consequential detail from a document; develop through cause, mechanism and consequence; close with a forward time marker.</x:v>
      </x:c>
      <x:c r="R21" s="17" t="str">
        <x:v>Use at least one genuine question. Do not add other marked features artificially.</x:v>
      </x:c>
      <x:c r="S21" s="17" t="str">
        <x:v>Do not restate the title; do not open with “Culture, leisure &amp; everyday life is important”, “This article/message/proposal sets out…”, “The following…”, or any legacy family formula.</x:v>
      </x:c>
      <x:c r="T21" s="17" t="str">
        <x:v>No First/Secondly/Finally ladder; avoid stock “moreover/furthermore/another important” transitions; movement must follow cause, mechanism and consequence.</x:v>
      </x:c>
      <x:c r="U21" s="17" t="str">
        <x:v>Do not use “In conclusion”, “Taken together”, a generic call to action, or a thesis recap; end through a forward time marker.</x:v>
      </x:c>
      <x:c r="V21" s="17" t="str">
        <x:v>Keep lexical and structural distance from paired brief ECV2-ART-019 (“How museums decide what remains on display”) and from the same Topic in other genres. Avoid benefits-list prose, institutional boilerplate and substituted-noun variants.</x:v>
      </x:c>
      <x:c r="W21" s="18" t="str">
        <x:v>No</x:v>
      </x:c>
      <x:c r="X21" s="18" t="str">
        <x:v>No</x:v>
      </x:c>
      <x:c r="Y21" s="18" t="str">
        <x:v>No</x:v>
      </x:c>
      <x:c r="Z21" s="18" t="str">
        <x:v>No</x:v>
      </x:c>
      <x:c r="AA21" s="18" t="str">
        <x:v>No</x:v>
      </x:c>
      <x:c r="AB21" s="18" t="str">
        <x:v>No</x:v>
      </x:c>
      <x:c r="AC21" s="18" t="str">
        <x:v>No</x:v>
      </x:c>
      <x:c r="AD21" s="18" t="str">
        <x:v>Yes</x:v>
      </x:c>
      <x:c r="AE21" s="18" t="str">
        <x:v>No</x:v>
      </x:c>
    </x:row>
    <x:row r="22" ht="64" customHeight="1">
      <x:c r="A22" s="16" t="str">
        <x:v>ECV2-PER-001</x:v>
      </x:c>
      <x:c r="B22" s="16" t="str">
        <x:v>dd1e645f-0713-4fbc-8ff7-cf039653cfd1</x:v>
      </x:c>
      <x:c r="C22" s="16" t="str">
        <x:v>Working From Home Without Living at Work</x:v>
      </x:c>
      <x:c r="D22" s="16" t="str">
        <x:v>Rewrite completely</x:v>
      </x:c>
      <x:c r="E22" s="16" t="str">
        <x:v>Personal writing</x:v>
      </x:c>
      <x:c r="F22" s="16" t="str">
        <x:v>Work &amp; organisations</x:v>
      </x:c>
      <x:c r="G22" s="16" t="str">
        <x:v>Reflective essay</x:v>
      </x:c>
      <x:c r="H22" s="17" t="str">
        <x:v>Learning to protect home life while working remotely</x:v>
      </x:c>
      <x:c r="I22" s="17" t="str">
        <x:v>Reflect honestly on changed understanding through “Learning to protect home life while working remotely”.</x:v>
      </x:c>
      <x:c r="J22" s="17" t="str">
        <x:v>A thoughtful general reader</x:v>
      </x:c>
      <x:c r="K22" s="17" t="str">
        <x:v>Standard</x:v>
      </x:c>
      <x:c r="L22" s="17" t="str">
        <x:v>200–349 words</x:v>
      </x:c>
      <x:c r="M22" s="17" t="str">
        <x:v>Core</x:v>
      </x:c>
      <x:c r="N22" s="17" t="str">
        <x:v>Natural reflective British English</x:v>
      </x:c>
      <x:c r="O22" s="17" t="str">
        <x:v>First person singular</x:v>
      </x:c>
      <x:c r="P22" s="17" t="str">
        <x:v>Past narrative with present reflection</x:v>
      </x:c>
      <x:c r="Q22" s="17" t="str">
        <x:v>5 paragraphs: open with a time-stamped moment; develop through cause, mechanism and consequence; close with a return to the opening image with changed meaning.</x:v>
      </x:c>
      <x:c r="R22" s="17" t="str">
        <x:v>Use a colon naturally. Do not add other marked features artificially.</x:v>
      </x:c>
      <x:c r="S22" s="17" t="str">
        <x:v>Do not restate the title; do not open with “Work &amp; organisations is important”, “This article/message/proposal sets out…”, “The following…”, or any legacy family formula.</x:v>
      </x:c>
      <x:c r="T22" s="17" t="str">
        <x:v>No First/Secondly/Finally ladder; avoid stock “moreover/furthermore/another important” transitions; movement must follow cause, mechanism and consequence.</x:v>
      </x:c>
      <x:c r="U22" s="17" t="str">
        <x:v>Do not use “In conclusion”, “Taken together”, a generic call to action, or a thesis recap; end through a return to the opening image with changed meaning.</x:v>
      </x:c>
      <x:c r="V22" s="17" t="str">
        <x:v>Keep lexical and structural distance from paired brief ECV2-PER-002 (“The first week of mentoring a new colleague”) and from the same Topic in other genres. Avoid benefits-list prose, institutional boilerplate and substituted-noun variants. Do not reuse wording, paragraph order or conclusions from “Working From Home Without Living at Work”; its former copy is reference-only.</x:v>
      </x:c>
      <x:c r="W22" s="18" t="str">
        <x:v>No</x:v>
      </x:c>
      <x:c r="X22" s="18" t="str">
        <x:v>No</x:v>
      </x:c>
      <x:c r="Y22" s="18" t="str">
        <x:v>No</x:v>
      </x:c>
      <x:c r="Z22" s="18" t="str">
        <x:v>No</x:v>
      </x:c>
      <x:c r="AA22" s="18" t="str">
        <x:v>Yes</x:v>
      </x:c>
      <x:c r="AB22" s="18" t="str">
        <x:v>No</x:v>
      </x:c>
      <x:c r="AC22" s="18" t="str">
        <x:v>No</x:v>
      </x:c>
      <x:c r="AD22" s="18" t="str">
        <x:v>No</x:v>
      </x:c>
      <x:c r="AE22" s="18" t="str">
        <x:v>No</x:v>
      </x:c>
    </x:row>
    <x:row r="23" ht="64" customHeight="1">
      <x:c r="A23" s="16" t="str">
        <x:v>ECV2-PER-002</x:v>
      </x:c>
      <x:c r="B23" s="16" t="str">
        <x:v>NEW</x:v>
      </x:c>
      <x:c r="C23" s="16" t="str">
        <x:v>NEW</x:v>
      </x:c>
      <x:c r="D23" s="16" t="str">
        <x:v>NEW</x:v>
      </x:c>
      <x:c r="E23" s="16" t="str">
        <x:v>Personal writing</x:v>
      </x:c>
      <x:c r="F23" s="16" t="str">
        <x:v>Work &amp; organisations</x:v>
      </x:c>
      <x:c r="G23" s="16" t="str">
        <x:v>Personal narrative</x:v>
      </x:c>
      <x:c r="H23" s="17" t="str">
        <x:v>The first week of mentoring a new colleague</x:v>
      </x:c>
      <x:c r="I23" s="17" t="str">
        <x:v>Tell one bounded personal experience through “The first week of mentoring a new colleague”.</x:v>
      </x:c>
      <x:c r="J23" s="17" t="str">
        <x:v>A known friend or family member</x:v>
      </x:c>
      <x:c r="K23" s="17" t="str">
        <x:v>Standard</x:v>
      </x:c>
      <x:c r="L23" s="17" t="str">
        <x:v>200–349 words</x:v>
      </x:c>
      <x:c r="M23" s="17" t="str">
        <x:v>Core</x:v>
      </x:c>
      <x:c r="N23" s="17" t="str">
        <x:v>Warm but restrained conversational register</x:v>
      </x:c>
      <x:c r="O23" s="17" t="str">
        <x:v>First person addressing a known reader</x:v>
      </x:c>
      <x:c r="P23" s="17" t="str">
        <x:v>Present reflective</x:v>
      </x:c>
      <x:c r="Q23" s="17" t="str">
        <x:v>3 paragraphs: open with an exception that challenges the usual assumption; develop through cause, mechanism and consequence; close with a final stakeholder voice.</x:v>
      </x:c>
      <x:c r="R23" s="17" t="str">
        <x:v>Include a purposeful direct quotation using straight single quotation marks; Use at least one genuine question; Use one restrained exclamation mark. Do not add other marked features artificially.</x:v>
      </x:c>
      <x:c r="S23" s="17" t="str">
        <x:v>Do not restate the title; do not open with “Work &amp; organisations is important”, “This article/message/proposal sets out…”, “The following…”, or any legacy family formula.</x:v>
      </x:c>
      <x:c r="T23" s="17" t="str">
        <x:v>No First/Secondly/Finally ladder; avoid stock “moreover/furthermore/another important” transitions; movement must follow cause, mechanism and consequence.</x:v>
      </x:c>
      <x:c r="U23" s="17" t="str">
        <x:v>Do not use “In conclusion”, “Taken together”, a generic call to action, or a thesis recap; end through a final stakeholder voice.</x:v>
      </x:c>
      <x:c r="V23" s="17" t="str">
        <x:v>Keep lexical and structural distance from paired brief ECV2-PER-001 (“Learning to protect home life while working remotely”) and from the same Topic in other genres. Avoid benefits-list prose, institutional boilerplate and substituted-noun variants.</x:v>
      </x:c>
      <x:c r="W23" s="18" t="str">
        <x:v>No</x:v>
      </x:c>
      <x:c r="X23" s="18" t="str">
        <x:v>No</x:v>
      </x:c>
      <x:c r="Y23" s="18" t="str">
        <x:v>No</x:v>
      </x:c>
      <x:c r="Z23" s="18" t="str">
        <x:v>Yes</x:v>
      </x:c>
      <x:c r="AA23" s="18" t="str">
        <x:v>No</x:v>
      </x:c>
      <x:c r="AB23" s="18" t="str">
        <x:v>No</x:v>
      </x:c>
      <x:c r="AC23" s="18" t="str">
        <x:v>No</x:v>
      </x:c>
      <x:c r="AD23" s="18" t="str">
        <x:v>Yes</x:v>
      </x:c>
      <x:c r="AE23" s="18" t="str">
        <x:v>Yes</x:v>
      </x:c>
    </x:row>
    <x:row r="24" ht="64" customHeight="1">
      <x:c r="A24" s="16" t="str">
        <x:v>ECV2-PER-003</x:v>
      </x:c>
      <x:c r="B24" s="16" t="str">
        <x:v>ba0f8790-0f76-4f5e-b8a5-da982790ef5c</x:v>
      </x:c>
      <x:c r="C24" s="16" t="str">
        <x:v>Finding a Better Digital Balance</x:v>
      </x:c>
      <x:c r="D24" s="16" t="str">
        <x:v>Rewrite completely</x:v>
      </x:c>
      <x:c r="E24" s="16" t="str">
        <x:v>Personal writing</x:v>
      </x:c>
      <x:c r="F24" s="16" t="str">
        <x:v>Technology &amp; digital life</x:v>
      </x:c>
      <x:c r="G24" s="16" t="str">
        <x:v>Reflective essay</x:v>
      </x:c>
      <x:c r="H24" s="17" t="str">
        <x:v>Reclaiming attention from constant digital prompts</x:v>
      </x:c>
      <x:c r="I24" s="17" t="str">
        <x:v>Reflect honestly on changed understanding through “Reclaiming attention from constant digital prompts”.</x:v>
      </x:c>
      <x:c r="J24" s="17" t="str">
        <x:v>A thoughtful general reader</x:v>
      </x:c>
      <x:c r="K24" s="17" t="str">
        <x:v>Standard</x:v>
      </x:c>
      <x:c r="L24" s="17" t="str">
        <x:v>200–349 words</x:v>
      </x:c>
      <x:c r="M24" s="17" t="str">
        <x:v>Core</x:v>
      </x:c>
      <x:c r="N24" s="17" t="str">
        <x:v>Concrete first-person literary non-fiction</x:v>
      </x:c>
      <x:c r="O24" s="17" t="str">
        <x:v>First person with observed dialogue</x:v>
      </x:c>
      <x:c r="P24" s="17" t="str">
        <x:v>Past with a forward-looking close</x:v>
      </x:c>
      <x:c r="Q24" s="17" t="str">
        <x:v>4 paragraphs: open with the practical consequence before its cause; develop through cause, mechanism and consequence; close with a forward time marker.</x:v>
      </x:c>
      <x:c r="R24" s="17" t="str">
        <x:v>Use natural full stops, commas and apostrophes; do not add marked punctuation or numbers artificially.</x:v>
      </x:c>
      <x:c r="S24" s="17" t="str">
        <x:v>Do not restate the title; do not open with “Technology &amp; digital life is important”, “This article/message/proposal sets out…”, “The following…”, or any legacy family formula.</x:v>
      </x:c>
      <x:c r="T24" s="17" t="str">
        <x:v>No First/Secondly/Finally ladder; avoid stock “moreover/furthermore/another important” transitions; movement must follow cause, mechanism and consequence.</x:v>
      </x:c>
      <x:c r="U24" s="17" t="str">
        <x:v>Do not use “In conclusion”, “Taken together”, a generic call to action, or a thesis recap; end through a forward time marker.</x:v>
      </x:c>
      <x:c r="V24" s="17" t="str">
        <x:v>Keep lexical and structural distance from paired brief ECV2-PER-004 (“The day I stopped following the map and found my own way”) and from the same Topic in other genres. Avoid benefits-list prose, institutional boilerplate and substituted-noun variants. Do not reuse wording, paragraph order or conclusions from “Finding a Better Digital Balance”; its former copy is reference-only.</x:v>
      </x:c>
      <x:c r="W24" s="18" t="str">
        <x:v>No</x:v>
      </x:c>
      <x:c r="X24" s="18" t="str">
        <x:v>No</x:v>
      </x:c>
      <x:c r="Y24" s="18" t="str">
        <x:v>No</x:v>
      </x:c>
      <x:c r="Z24" s="18" t="str">
        <x:v>No</x:v>
      </x:c>
      <x:c r="AA24" s="18" t="str">
        <x:v>No</x:v>
      </x:c>
      <x:c r="AB24" s="18" t="str">
        <x:v>No</x:v>
      </x:c>
      <x:c r="AC24" s="18" t="str">
        <x:v>No</x:v>
      </x:c>
      <x:c r="AD24" s="18" t="str">
        <x:v>No</x:v>
      </x:c>
      <x:c r="AE24" s="18" t="str">
        <x:v>No</x:v>
      </x:c>
    </x:row>
    <x:row r="25" ht="64" customHeight="1">
      <x:c r="A25" s="16" t="str">
        <x:v>ECV2-PER-004</x:v>
      </x:c>
      <x:c r="B25" s="16" t="str">
        <x:v>NEW</x:v>
      </x:c>
      <x:c r="C25" s="16" t="str">
        <x:v>NEW</x:v>
      </x:c>
      <x:c r="D25" s="16" t="str">
        <x:v>NEW</x:v>
      </x:c>
      <x:c r="E25" s="16" t="str">
        <x:v>Personal writing</x:v>
      </x:c>
      <x:c r="F25" s="16" t="str">
        <x:v>Technology &amp; digital life</x:v>
      </x:c>
      <x:c r="G25" s="16" t="str">
        <x:v>Place or travel vignette</x:v>
      </x:c>
      <x:c r="H25" s="17" t="str">
        <x:v>The day I stopped following the map and found my own way</x:v>
      </x:c>
      <x:c r="I25" s="17" t="str">
        <x:v>Use place and movement to explore “The day I stopped following the map and found my own way”.</x:v>
      </x:c>
      <x:c r="J25" s="17" t="str">
        <x:v>A known friend or family member</x:v>
      </x:c>
      <x:c r="K25" s="17" t="str">
        <x:v>Standard</x:v>
      </x:c>
      <x:c r="L25" s="17" t="str">
        <x:v>200–349 words</x:v>
      </x:c>
      <x:c r="M25" s="17" t="str">
        <x:v>Challenging</x:v>
      </x:c>
      <x:c r="N25" s="17" t="str">
        <x:v>Natural reflective British English</x:v>
      </x:c>
      <x:c r="O25" s="17" t="str">
        <x:v>First person singular</x:v>
      </x:c>
      <x:c r="P25" s="17" t="str">
        <x:v>Past narrative with present reflection</x:v>
      </x:c>
      <x:c r="Q25" s="17" t="str">
        <x:v>5 paragraphs: open with a stakeholder voice; develop through cause, mechanism and consequence; close with the next decision that must be made.</x:v>
      </x:c>
      <x:c r="R25" s="17" t="str">
        <x:v>Use at least one contextual Arabic numeral; Include a date or time; Use a semicolon naturally; Use at least one genuine question. Do not add other marked features artificially.</x:v>
      </x:c>
      <x:c r="S25" s="17" t="str">
        <x:v>Do not restate the title; do not open with “Technology &amp; digital life is important”, “This article/message/proposal sets out…”, “The following…”, or any legacy family formula.</x:v>
      </x:c>
      <x:c r="T25" s="17" t="str">
        <x:v>No First/Secondly/Finally ladder; avoid stock “moreover/furthermore/another important” transitions; movement must follow cause, mechanism and consequence.</x:v>
      </x:c>
      <x:c r="U25" s="17" t="str">
        <x:v>Do not use “In conclusion”, “Taken together”, a generic call to action, or a thesis recap; end through the next decision that must be made.</x:v>
      </x:c>
      <x:c r="V25" s="17" t="str">
        <x:v>Keep lexical and structural distance from paired brief ECV2-PER-003 (“Reclaiming attention from constant digital prompts”) and from the same Topic in other genres. Avoid benefits-list prose, institutional boilerplate and substituted-noun variants.</x:v>
      </x:c>
      <x:c r="W25" s="18" t="str">
        <x:v>Yes</x:v>
      </x:c>
      <x:c r="X25" s="18" t="str">
        <x:v>Yes</x:v>
      </x:c>
      <x:c r="Y25" s="18" t="str">
        <x:v>No</x:v>
      </x:c>
      <x:c r="Z25" s="18" t="str">
        <x:v>No</x:v>
      </x:c>
      <x:c r="AA25" s="18" t="str">
        <x:v>No</x:v>
      </x:c>
      <x:c r="AB25" s="18" t="str">
        <x:v>Yes</x:v>
      </x:c>
      <x:c r="AC25" s="18" t="str">
        <x:v>No</x:v>
      </x:c>
      <x:c r="AD25" s="18" t="str">
        <x:v>Yes</x:v>
      </x:c>
      <x:c r="AE25" s="18" t="str">
        <x:v>No</x:v>
      </x:c>
    </x:row>
    <x:row r="26" ht="64" customHeight="1">
      <x:c r="A26" s="16" t="str">
        <x:v>ECV2-PER-005</x:v>
      </x:c>
      <x:c r="B26" s="16" t="str">
        <x:v>NEW</x:v>
      </x:c>
      <x:c r="C26" s="16" t="str">
        <x:v>NEW</x:v>
      </x:c>
      <x:c r="D26" s="16" t="str">
        <x:v>NEW</x:v>
      </x:c>
      <x:c r="E26" s="16" t="str">
        <x:v>Personal writing</x:v>
      </x:c>
      <x:c r="F26" s="16" t="str">
        <x:v>Health &amp; wellbeing</x:v>
      </x:c>
      <x:c r="G26" s="16" t="str">
        <x:v>Personal narrative</x:v>
      </x:c>
      <x:c r="H26" s="17" t="str">
        <x:v>Recovering confidence after a minor physical injury</x:v>
      </x:c>
      <x:c r="I26" s="17" t="str">
        <x:v>Tell one bounded personal experience through “Recovering confidence after a minor physical injury”.</x:v>
      </x:c>
      <x:c r="J26" s="17" t="str">
        <x:v>A thoughtful general reader</x:v>
      </x:c>
      <x:c r="K26" s="17" t="str">
        <x:v>Standard</x:v>
      </x:c>
      <x:c r="L26" s="17" t="str">
        <x:v>200–349 words</x:v>
      </x:c>
      <x:c r="M26" s="17" t="str">
        <x:v>Core</x:v>
      </x:c>
      <x:c r="N26" s="17" t="str">
        <x:v>Warm but restrained conversational register</x:v>
      </x:c>
      <x:c r="O26" s="17" t="str">
        <x:v>First person addressing a known reader</x:v>
      </x:c>
      <x:c r="P26" s="17" t="str">
        <x:v>Present reflective</x:v>
      </x:c>
      <x:c r="Q26" s="17" t="str">
        <x:v>3 paragraphs: open with a process already in motion; develop through cause, mechanism and consequence; close with one measurable consequence.</x:v>
      </x:c>
      <x:c r="R26" s="17" t="str">
        <x:v>Use a colon naturally. Do not add other marked features artificially.</x:v>
      </x:c>
      <x:c r="S26" s="17" t="str">
        <x:v>Do not restate the title; do not open with “Health &amp; wellbeing is important”, “This article/message/proposal sets out…”, “The following…”, or any legacy family formula.</x:v>
      </x:c>
      <x:c r="T26" s="17" t="str">
        <x:v>No First/Secondly/Finally ladder; avoid stock “moreover/furthermore/another important” transitions; movement must follow cause, mechanism and consequence.</x:v>
      </x:c>
      <x:c r="U26" s="17" t="str">
        <x:v>Do not use “In conclusion”, “Taken together”, a generic call to action, or a thesis recap; end through one measurable consequence.</x:v>
      </x:c>
      <x:c r="V26" s="17" t="str">
        <x:v>Keep lexical and structural distance from paired brief ECV2-PER-006 (“Cooking through a period when appetite disappeared”) and from the same Topic in other genres. Avoid benefits-list prose, institutional boilerplate and substituted-noun variants.</x:v>
      </x:c>
      <x:c r="W26" s="18" t="str">
        <x:v>No</x:v>
      </x:c>
      <x:c r="X26" s="18" t="str">
        <x:v>No</x:v>
      </x:c>
      <x:c r="Y26" s="18" t="str">
        <x:v>No</x:v>
      </x:c>
      <x:c r="Z26" s="18" t="str">
        <x:v>No</x:v>
      </x:c>
      <x:c r="AA26" s="18" t="str">
        <x:v>Yes</x:v>
      </x:c>
      <x:c r="AB26" s="18" t="str">
        <x:v>No</x:v>
      </x:c>
      <x:c r="AC26" s="18" t="str">
        <x:v>No</x:v>
      </x:c>
      <x:c r="AD26" s="18" t="str">
        <x:v>No</x:v>
      </x:c>
      <x:c r="AE26" s="18" t="str">
        <x:v>No</x:v>
      </x:c>
    </x:row>
    <x:row r="27" ht="64" customHeight="1">
      <x:c r="A27" s="16" t="str">
        <x:v>ECV2-PER-006</x:v>
      </x:c>
      <x:c r="B27" s="16" t="str">
        <x:v>NEW</x:v>
      </x:c>
      <x:c r="C27" s="16" t="str">
        <x:v>NEW</x:v>
      </x:c>
      <x:c r="D27" s="16" t="str">
        <x:v>NEW</x:v>
      </x:c>
      <x:c r="E27" s="16" t="str">
        <x:v>Personal writing</x:v>
      </x:c>
      <x:c r="F27" s="16" t="str">
        <x:v>Health &amp; wellbeing</x:v>
      </x:c>
      <x:c r="G27" s="16" t="str">
        <x:v>Reflective essay</x:v>
      </x:c>
      <x:c r="H27" s="17" t="str">
        <x:v>Cooking through a period when appetite disappeared</x:v>
      </x:c>
      <x:c r="I27" s="17" t="str">
        <x:v>Reflect honestly on changed understanding through “Cooking through a period when appetite disappeared”.</x:v>
      </x:c>
      <x:c r="J27" s="17" t="str">
        <x:v>A known friend or family member</x:v>
      </x:c>
      <x:c r="K27" s="17" t="str">
        <x:v>Extended</x:v>
      </x:c>
      <x:c r="L27" s="17" t="str">
        <x:v>350–500 words</x:v>
      </x:c>
      <x:c r="M27" s="17" t="str">
        <x:v>Core</x:v>
      </x:c>
      <x:c r="N27" s="17" t="str">
        <x:v>Concrete first-person literary non-fiction</x:v>
      </x:c>
      <x:c r="O27" s="17" t="str">
        <x:v>First person with observed dialogue</x:v>
      </x:c>
      <x:c r="P27" s="17" t="str">
        <x:v>Past with a forward-looking close</x:v>
      </x:c>
      <x:c r="Q27" s="17" t="str">
        <x:v>6 paragraphs: open with a corrected misconception; develop through cause, mechanism and consequence; close with the exception that still needs attention.</x:v>
      </x:c>
      <x:c r="R27" s="17" t="str">
        <x:v>Use one necessary parenthetical phrase. Do not add other marked features artificially.</x:v>
      </x:c>
      <x:c r="S27" s="17" t="str">
        <x:v>Do not restate the title; do not open with “Health &amp; wellbeing is important”, “This article/message/proposal sets out…”, “The following…”, or any legacy family formula.</x:v>
      </x:c>
      <x:c r="T27" s="17" t="str">
        <x:v>No First/Secondly/Finally ladder; avoid stock “moreover/furthermore/another important” transitions; movement must follow cause, mechanism and consequence.</x:v>
      </x:c>
      <x:c r="U27" s="17" t="str">
        <x:v>Do not use “In conclusion”, “Taken together”, a generic call to action, or a thesis recap; end through the exception that still needs attention.</x:v>
      </x:c>
      <x:c r="V27" s="17" t="str">
        <x:v>Keep lexical and structural distance from paired brief ECV2-PER-005 (“Recovering confidence after a minor physical injury”) and from the same Topic in other genres. Avoid benefits-list prose, institutional boilerplate and substituted-noun variants.</x:v>
      </x:c>
      <x:c r="W27" s="18" t="str">
        <x:v>No</x:v>
      </x:c>
      <x:c r="X27" s="18" t="str">
        <x:v>No</x:v>
      </x:c>
      <x:c r="Y27" s="18" t="str">
        <x:v>No</x:v>
      </x:c>
      <x:c r="Z27" s="18" t="str">
        <x:v>No</x:v>
      </x:c>
      <x:c r="AA27" s="18" t="str">
        <x:v>No</x:v>
      </x:c>
      <x:c r="AB27" s="18" t="str">
        <x:v>No</x:v>
      </x:c>
      <x:c r="AC27" s="18" t="str">
        <x:v>Yes</x:v>
      </x:c>
      <x:c r="AD27" s="18" t="str">
        <x:v>No</x:v>
      </x:c>
      <x:c r="AE27" s="18" t="str">
        <x:v>No</x:v>
      </x:c>
    </x:row>
    <x:row r="28" ht="64" customHeight="1">
      <x:c r="A28" s="16" t="str">
        <x:v>ECV2-PER-007</x:v>
      </x:c>
      <x:c r="B28" s="16" t="str">
        <x:v>dbfc3376-f2ec-49fc-996f-7b0ce865990a</x:v>
      </x:c>
      <x:c r="C28" s="16" t="str">
        <x:v>Learning to Read Without Rushing</x:v>
      </x:c>
      <x:c r="D28" s="16" t="str">
        <x:v>Rewrite completely</x:v>
      </x:c>
      <x:c r="E28" s="16" t="str">
        <x:v>Personal writing</x:v>
      </x:c>
      <x:c r="F28" s="16" t="str">
        <x:v>Education &amp; learning</x:v>
      </x:c>
      <x:c r="G28" s="16" t="str">
        <x:v>Reflective essay</x:v>
      </x:c>
      <x:c r="H28" s="17" t="str">
        <x:v>Learning to read patiently instead of chasing page counts</x:v>
      </x:c>
      <x:c r="I28" s="17" t="str">
        <x:v>Reflect honestly on changed understanding through “Learning to read patiently instead of chasing page counts”.</x:v>
      </x:c>
      <x:c r="J28" s="17" t="str">
        <x:v>A thoughtful general reader</x:v>
      </x:c>
      <x:c r="K28" s="17" t="str">
        <x:v>Standard</x:v>
      </x:c>
      <x:c r="L28" s="17" t="str">
        <x:v>200–349 words</x:v>
      </x:c>
      <x:c r="M28" s="17" t="str">
        <x:v>Core</x:v>
      </x:c>
      <x:c r="N28" s="17" t="str">
        <x:v>Natural reflective British English</x:v>
      </x:c>
      <x:c r="O28" s="17" t="str">
        <x:v>First person singular</x:v>
      </x:c>
      <x:c r="P28" s="17" t="str">
        <x:v>Past narrative with present reflection</x:v>
      </x:c>
      <x:c r="Q28" s="17" t="str">
        <x:v>5 paragraphs: open with one meaningful data point; develop through cause, mechanism and consequence; close with an unresolved but specific implication.</x:v>
      </x:c>
      <x:c r="R28" s="17" t="str">
        <x:v>Use at least one genuine question. Do not add other marked features artificially.</x:v>
      </x:c>
      <x:c r="S28" s="17" t="str">
        <x:v>Do not restate the title; do not open with “Education &amp; learning is important”, “This article/message/proposal sets out…”, “The following…”, or any legacy family formula.</x:v>
      </x:c>
      <x:c r="T28" s="17" t="str">
        <x:v>No First/Secondly/Finally ladder; avoid stock “moreover/furthermore/another important” transitions; movement must follow cause, mechanism and consequence.</x:v>
      </x:c>
      <x:c r="U28" s="17" t="str">
        <x:v>Do not use “In conclusion”, “Taken together”, a generic call to action, or a thesis recap; end through an unresolved but specific implication.</x:v>
      </x:c>
      <x:c r="V28" s="17" t="str">
        <x:v>Keep lexical and structural distance from paired brief ECV2-PER-008 (“Returning to an evening class after many years”) and from the same Topic in other genres. Avoid benefits-list prose, institutional boilerplate and substituted-noun variants. Do not reuse wording, paragraph order or conclusions from “Learning to Read Without Rushing”; its former copy is reference-only.</x:v>
      </x:c>
      <x:c r="W28" s="18" t="str">
        <x:v>No</x:v>
      </x:c>
      <x:c r="X28" s="18" t="str">
        <x:v>No</x:v>
      </x:c>
      <x:c r="Y28" s="18" t="str">
        <x:v>No</x:v>
      </x:c>
      <x:c r="Z28" s="18" t="str">
        <x:v>No</x:v>
      </x:c>
      <x:c r="AA28" s="18" t="str">
        <x:v>No</x:v>
      </x:c>
      <x:c r="AB28" s="18" t="str">
        <x:v>No</x:v>
      </x:c>
      <x:c r="AC28" s="18" t="str">
        <x:v>No</x:v>
      </x:c>
      <x:c r="AD28" s="18" t="str">
        <x:v>Yes</x:v>
      </x:c>
      <x:c r="AE28" s="18" t="str">
        <x:v>No</x:v>
      </x:c>
    </x:row>
    <x:row r="29" ht="64" customHeight="1">
      <x:c r="A29" s="16" t="str">
        <x:v>ECV2-PER-008</x:v>
      </x:c>
      <x:c r="B29" s="16" t="str">
        <x:v>NEW</x:v>
      </x:c>
      <x:c r="C29" s="16" t="str">
        <x:v>NEW</x:v>
      </x:c>
      <x:c r="D29" s="16" t="str">
        <x:v>NEW</x:v>
      </x:c>
      <x:c r="E29" s="16" t="str">
        <x:v>Personal writing</x:v>
      </x:c>
      <x:c r="F29" s="16" t="str">
        <x:v>Education &amp; learning</x:v>
      </x:c>
      <x:c r="G29" s="16" t="str">
        <x:v>Personal narrative</x:v>
      </x:c>
      <x:c r="H29" s="17" t="str">
        <x:v>Returning to an evening class after many years</x:v>
      </x:c>
      <x:c r="I29" s="17" t="str">
        <x:v>Tell one bounded personal experience through “Returning to an evening class after many years”.</x:v>
      </x:c>
      <x:c r="J29" s="17" t="str">
        <x:v>A known friend or family member</x:v>
      </x:c>
      <x:c r="K29" s="17" t="str">
        <x:v>Standard</x:v>
      </x:c>
      <x:c r="L29" s="17" t="str">
        <x:v>200–349 words</x:v>
      </x:c>
      <x:c r="M29" s="17" t="str">
        <x:v>Core</x:v>
      </x:c>
      <x:c r="N29" s="17" t="str">
        <x:v>Warm but restrained conversational register</x:v>
      </x:c>
      <x:c r="O29" s="17" t="str">
        <x:v>First person addressing a known reader</x:v>
      </x:c>
      <x:c r="P29" s="17" t="str">
        <x:v>Present reflective</x:v>
      </x:c>
      <x:c r="Q29" s="17" t="str">
        <x:v>3 paragraphs: open with a physical place or object; develop through cause, mechanism and consequence; close with a practical boundary rather than a promise.</x:v>
      </x:c>
      <x:c r="R29" s="17" t="str">
        <x:v>Use a semicolon naturally. Do not add other marked features artificially.</x:v>
      </x:c>
      <x:c r="S29" s="17" t="str">
        <x:v>Do not restate the title; do not open with “Education &amp; learning is important”, “This article/message/proposal sets out…”, “The following…”, or any legacy family formula.</x:v>
      </x:c>
      <x:c r="T29" s="17" t="str">
        <x:v>No First/Secondly/Finally ladder; avoid stock “moreover/furthermore/another important” transitions; movement must follow cause, mechanism and consequence.</x:v>
      </x:c>
      <x:c r="U29" s="17" t="str">
        <x:v>Do not use “In conclusion”, “Taken together”, a generic call to action, or a thesis recap; end through a practical boundary rather than a promise.</x:v>
      </x:c>
      <x:c r="V29" s="17" t="str">
        <x:v>Keep lexical and structural distance from paired brief ECV2-PER-007 (“Learning to read patiently instead of chasing page counts”) and from the same Topic in other genres. Avoid benefits-list prose, institutional boilerplate and substituted-noun variants.</x:v>
      </x:c>
      <x:c r="W29" s="18" t="str">
        <x:v>No</x:v>
      </x:c>
      <x:c r="X29" s="18" t="str">
        <x:v>No</x:v>
      </x:c>
      <x:c r="Y29" s="18" t="str">
        <x:v>No</x:v>
      </x:c>
      <x:c r="Z29" s="18" t="str">
        <x:v>No</x:v>
      </x:c>
      <x:c r="AA29" s="18" t="str">
        <x:v>No</x:v>
      </x:c>
      <x:c r="AB29" s="18" t="str">
        <x:v>Yes</x:v>
      </x:c>
      <x:c r="AC29" s="18" t="str">
        <x:v>No</x:v>
      </x:c>
      <x:c r="AD29" s="18" t="str">
        <x:v>No</x:v>
      </x:c>
      <x:c r="AE29" s="18" t="str">
        <x:v>No</x:v>
      </x:c>
    </x:row>
    <x:row r="30" ht="64" customHeight="1">
      <x:c r="A30" s="16" t="str">
        <x:v>ECV2-PER-009</x:v>
      </x:c>
      <x:c r="B30" s="16" t="str">
        <x:v>NEW</x:v>
      </x:c>
      <x:c r="C30" s="16" t="str">
        <x:v>NEW</x:v>
      </x:c>
      <x:c r="D30" s="16" t="str">
        <x:v>NEW</x:v>
      </x:c>
      <x:c r="E30" s="16" t="str">
        <x:v>Personal writing</x:v>
      </x:c>
      <x:c r="F30" s="16" t="str">
        <x:v>Environment &amp; sustainability</x:v>
      </x:c>
      <x:c r="G30" s="16" t="str">
        <x:v>Observational sketch</x:v>
      </x:c>
      <x:c r="H30" s="17" t="str">
        <x:v>A month of noticing the waste created by takeaway habits</x:v>
      </x:c>
      <x:c r="I30" s="17" t="str">
        <x:v>Let ordinary details reveal a broader insight through “A month of noticing the waste created by takeaway habits”.</x:v>
      </x:c>
      <x:c r="J30" s="17" t="str">
        <x:v>A thoughtful general reader</x:v>
      </x:c>
      <x:c r="K30" s="17" t="str">
        <x:v>Compact</x:v>
      </x:c>
      <x:c r="L30" s="17" t="str">
        <x:v>140–199 words</x:v>
      </x:c>
      <x:c r="M30" s="17" t="str">
        <x:v>Accessible</x:v>
      </x:c>
      <x:c r="N30" s="17" t="str">
        <x:v>Concrete first-person literary non-fiction</x:v>
      </x:c>
      <x:c r="O30" s="17" t="str">
        <x:v>First person with observed dialogue</x:v>
      </x:c>
      <x:c r="P30" s="17" t="str">
        <x:v>Past with a forward-looking close</x:v>
      </x:c>
      <x:c r="Q30" s="17" t="str">
        <x:v>2 paragraphs: open with a concrete action already under way; develop through two perspectives tested against the same evidence; close with a concrete next action.</x:v>
      </x:c>
      <x:c r="R30" s="17" t="str">
        <x:v>Use a colon naturally. Do not add other marked features artificially.</x:v>
      </x:c>
      <x:c r="S30" s="17" t="str">
        <x:v>Do not restate the title; do not open with “Environment &amp; sustainability is important”, “This article/message/proposal sets out…”, “The following…”, or any legacy family formula.</x:v>
      </x:c>
      <x:c r="T30" s="17" t="str">
        <x:v>No First/Secondly/Finally ladder; avoid stock “moreover/furthermore/another important” transitions; movement must follow two perspectives tested against the same evidence.</x:v>
      </x:c>
      <x:c r="U30" s="17" t="str">
        <x:v>Do not use “In conclusion”, “Taken together”, a generic call to action, or a thesis recap; end through a concrete next action.</x:v>
      </x:c>
      <x:c r="V30" s="17" t="str">
        <x:v>Keep lexical and structural distance from paired brief ECV2-PER-010 (“Watching a community garden survive a dry summer”) and from the same Topic in other genres. Avoid benefits-list prose, institutional boilerplate and substituted-noun variants.</x:v>
      </x:c>
      <x:c r="W30" s="18" t="str">
        <x:v>No</x:v>
      </x:c>
      <x:c r="X30" s="18" t="str">
        <x:v>No</x:v>
      </x:c>
      <x:c r="Y30" s="18" t="str">
        <x:v>No</x:v>
      </x:c>
      <x:c r="Z30" s="18" t="str">
        <x:v>No</x:v>
      </x:c>
      <x:c r="AA30" s="18" t="str">
        <x:v>Yes</x:v>
      </x:c>
      <x:c r="AB30" s="18" t="str">
        <x:v>No</x:v>
      </x:c>
      <x:c r="AC30" s="18" t="str">
        <x:v>No</x:v>
      </x:c>
      <x:c r="AD30" s="18" t="str">
        <x:v>No</x:v>
      </x:c>
      <x:c r="AE30" s="18" t="str">
        <x:v>No</x:v>
      </x:c>
    </x:row>
    <x:row r="31" ht="64" customHeight="1">
      <x:c r="A31" s="16" t="str">
        <x:v>ECV2-PER-010</x:v>
      </x:c>
      <x:c r="B31" s="16" t="str">
        <x:v>NEW</x:v>
      </x:c>
      <x:c r="C31" s="16" t="str">
        <x:v>NEW</x:v>
      </x:c>
      <x:c r="D31" s="16" t="str">
        <x:v>NEW</x:v>
      </x:c>
      <x:c r="E31" s="16" t="str">
        <x:v>Personal writing</x:v>
      </x:c>
      <x:c r="F31" s="16" t="str">
        <x:v>Environment &amp; sustainability</x:v>
      </x:c>
      <x:c r="G31" s="16" t="str">
        <x:v>Observational sketch</x:v>
      </x:c>
      <x:c r="H31" s="17" t="str">
        <x:v>Watching a community garden survive a dry summer</x:v>
      </x:c>
      <x:c r="I31" s="17" t="str">
        <x:v>Let ordinary details reveal a broader insight through “Watching a community garden survive a dry summer”.</x:v>
      </x:c>
      <x:c r="J31" s="17" t="str">
        <x:v>A known friend or family member</x:v>
      </x:c>
      <x:c r="K31" s="17" t="str">
        <x:v>Compact</x:v>
      </x:c>
      <x:c r="L31" s="17" t="str">
        <x:v>140–199 words</x:v>
      </x:c>
      <x:c r="M31" s="17" t="str">
        <x:v>Accessible</x:v>
      </x:c>
      <x:c r="N31" s="17" t="str">
        <x:v>Natural reflective British English</x:v>
      </x:c>
      <x:c r="O31" s="17" t="str">
        <x:v>First person singular</x:v>
      </x:c>
      <x:c r="P31" s="17" t="str">
        <x:v>Past narrative with present reflection</x:v>
      </x:c>
      <x:c r="Q31" s="17" t="str">
        <x:v>3 paragraphs: open with a brief contrast between expectation and result; develop through two perspectives tested against the same evidence; close with a precise takeaway without recapping every paragraph.</x:v>
      </x:c>
      <x:c r="R31" s="17" t="str">
        <x:v>Use natural full stops, commas and apostrophes; do not add marked punctuation or numbers artificially.</x:v>
      </x:c>
      <x:c r="S31" s="17" t="str">
        <x:v>Do not restate the title; do not open with “Environment &amp; sustainability is important”, “This article/message/proposal sets out…”, “The following…”, or any legacy family formula.</x:v>
      </x:c>
      <x:c r="T31" s="17" t="str">
        <x:v>No First/Secondly/Finally ladder; avoid stock “moreover/furthermore/another important” transitions; movement must follow two perspectives tested against the same evidence.</x:v>
      </x:c>
      <x:c r="U31" s="17" t="str">
        <x:v>Do not use “In conclusion”, “Taken together”, a generic call to action, or a thesis recap; end through a precise takeaway without recapping every paragraph.</x:v>
      </x:c>
      <x:c r="V31" s="17" t="str">
        <x:v>Keep lexical and structural distance from paired brief ECV2-PER-009 (“A month of noticing the waste created by takeaway habits”) and from the same Topic in other genres. Avoid benefits-list prose, institutional boilerplate and substituted-noun variants.</x:v>
      </x:c>
      <x:c r="W31" s="18" t="str">
        <x:v>No</x:v>
      </x:c>
      <x:c r="X31" s="18" t="str">
        <x:v>No</x:v>
      </x:c>
      <x:c r="Y31" s="18" t="str">
        <x:v>No</x:v>
      </x:c>
      <x:c r="Z31" s="18" t="str">
        <x:v>No</x:v>
      </x:c>
      <x:c r="AA31" s="18" t="str">
        <x:v>No</x:v>
      </x:c>
      <x:c r="AB31" s="18" t="str">
        <x:v>No</x:v>
      </x:c>
      <x:c r="AC31" s="18" t="str">
        <x:v>No</x:v>
      </x:c>
      <x:c r="AD31" s="18" t="str">
        <x:v>No</x:v>
      </x:c>
      <x:c r="AE31" s="18" t="str">
        <x:v>No</x:v>
      </x:c>
    </x:row>
    <x:row r="32" ht="64" customHeight="1">
      <x:c r="A32" s="16" t="str">
        <x:v>ECV2-PER-011</x:v>
      </x:c>
      <x:c r="B32" s="16" t="str">
        <x:v>7dfb275e-86d1-4f9f-a8dd-69ee04854e3f</x:v>
      </x:c>
      <x:c r="C32" s="16" t="str">
        <x:v>What a Neighbourhood Walk Can Teach You</x:v>
      </x:c>
      <x:c r="D32" s="16" t="str">
        <x:v>Rewrite completely</x:v>
      </x:c>
      <x:c r="E32" s="16" t="str">
        <x:v>Personal writing</x:v>
      </x:c>
      <x:c r="F32" s="16" t="str">
        <x:v>Transport, housing &amp; places</x:v>
      </x:c>
      <x:c r="G32" s="16" t="str">
        <x:v>Place or travel vignette</x:v>
      </x:c>
      <x:c r="H32" s="17" t="str">
        <x:v>What repeated neighbourhood walks revealed over time</x:v>
      </x:c>
      <x:c r="I32" s="17" t="str">
        <x:v>Use place and movement to explore “What repeated neighbourhood walks revealed over time”.</x:v>
      </x:c>
      <x:c r="J32" s="17" t="str">
        <x:v>A thoughtful general reader</x:v>
      </x:c>
      <x:c r="K32" s="17" t="str">
        <x:v>Standard</x:v>
      </x:c>
      <x:c r="L32" s="17" t="str">
        <x:v>200–349 words</x:v>
      </x:c>
      <x:c r="M32" s="17" t="str">
        <x:v>Accessible</x:v>
      </x:c>
      <x:c r="N32" s="17" t="str">
        <x:v>Warm but restrained conversational register</x:v>
      </x:c>
      <x:c r="O32" s="17" t="str">
        <x:v>First person addressing a known reader</x:v>
      </x:c>
      <x:c r="P32" s="17" t="str">
        <x:v>Present reflective</x:v>
      </x:c>
      <x:c r="Q32" s="17" t="str">
        <x:v>3 paragraphs: open with one precise observation; develop through two perspectives tested against the same evidence; close with a practical boundary rather than a promise.</x:v>
      </x:c>
      <x:c r="R32" s="17" t="str">
        <x:v>Use natural full stops, commas and apostrophes; do not add marked punctuation or numbers artificially.</x:v>
      </x:c>
      <x:c r="S32" s="17" t="str">
        <x:v>Do not restate the title; do not open with “Transport, housing &amp; places is important”, “This article/message/proposal sets out…”, “The following…”, or any legacy family formula.</x:v>
      </x:c>
      <x:c r="T32" s="17" t="str">
        <x:v>No First/Secondly/Finally ladder; avoid stock “moreover/furthermore/another important” transitions; movement must follow two perspectives tested against the same evidence.</x:v>
      </x:c>
      <x:c r="U32" s="17" t="str">
        <x:v>Do not use “In conclusion”, “Taken together”, a generic call to action, or a thesis recap; end through a practical boundary rather than a promise.</x:v>
      </x:c>
      <x:c r="V32" s="17" t="str">
        <x:v>Keep lexical and structural distance from paired brief ECV2-PER-012 (“The last bus home during a night of heavy rain”) and from the same Topic in other genres. Avoid benefits-list prose, institutional boilerplate and substituted-noun variants. Do not reuse wording, paragraph order or conclusions from “What a Neighbourhood Walk Can Teach You”; its former copy is reference-only.</x:v>
      </x:c>
      <x:c r="W32" s="18" t="str">
        <x:v>No</x:v>
      </x:c>
      <x:c r="X32" s="18" t="str">
        <x:v>No</x:v>
      </x:c>
      <x:c r="Y32" s="18" t="str">
        <x:v>No</x:v>
      </x:c>
      <x:c r="Z32" s="18" t="str">
        <x:v>No</x:v>
      </x:c>
      <x:c r="AA32" s="18" t="str">
        <x:v>No</x:v>
      </x:c>
      <x:c r="AB32" s="18" t="str">
        <x:v>No</x:v>
      </x:c>
      <x:c r="AC32" s="18" t="str">
        <x:v>No</x:v>
      </x:c>
      <x:c r="AD32" s="18" t="str">
        <x:v>No</x:v>
      </x:c>
      <x:c r="AE32" s="18" t="str">
        <x:v>No</x:v>
      </x:c>
    </x:row>
    <x:row r="33" ht="64" customHeight="1">
      <x:c r="A33" s="16" t="str">
        <x:v>ECV2-PER-012</x:v>
      </x:c>
      <x:c r="B33" s="16" t="str">
        <x:v>NEW</x:v>
      </x:c>
      <x:c r="C33" s="16" t="str">
        <x:v>NEW</x:v>
      </x:c>
      <x:c r="D33" s="16" t="str">
        <x:v>NEW</x:v>
      </x:c>
      <x:c r="E33" s="16" t="str">
        <x:v>Personal writing</x:v>
      </x:c>
      <x:c r="F33" s="16" t="str">
        <x:v>Transport, housing &amp; places</x:v>
      </x:c>
      <x:c r="G33" s="16" t="str">
        <x:v>Place or travel vignette</x:v>
      </x:c>
      <x:c r="H33" s="17" t="str">
        <x:v>The last bus home during a night of heavy rain</x:v>
      </x:c>
      <x:c r="I33" s="17" t="str">
        <x:v>Use place and movement to explore “The last bus home during a night of heavy rain”.</x:v>
      </x:c>
      <x:c r="J33" s="17" t="str">
        <x:v>A known friend or family member</x:v>
      </x:c>
      <x:c r="K33" s="17" t="str">
        <x:v>Standard</x:v>
      </x:c>
      <x:c r="L33" s="17" t="str">
        <x:v>200–349 words</x:v>
      </x:c>
      <x:c r="M33" s="17" t="str">
        <x:v>Core</x:v>
      </x:c>
      <x:c r="N33" s="17" t="str">
        <x:v>Concrete first-person literary non-fiction</x:v>
      </x:c>
      <x:c r="O33" s="17" t="str">
        <x:v>First person with observed dialogue</x:v>
      </x:c>
      <x:c r="P33" s="17" t="str">
        <x:v>Past with a forward-looking close</x:v>
      </x:c>
      <x:c r="Q33" s="17" t="str">
        <x:v>4 paragraphs: open with a small case before its wider meaning; develop through two perspectives tested against the same evidence; close with a concrete next action.</x:v>
      </x:c>
      <x:c r="R33" s="17" t="str">
        <x:v>Use at least one contextual Arabic numeral; Include a date or time; Use a semicolon naturally; Use one necessary parenthetical phrase; Use at least one genuine question; Use one restrained exclamation mark. Do not add other marked features artificially.</x:v>
      </x:c>
      <x:c r="S33" s="17" t="str">
        <x:v>Do not restate the title; do not open with “Transport, housing &amp; places is important”, “This article/message/proposal sets out…”, “The following…”, or any legacy family formula.</x:v>
      </x:c>
      <x:c r="T33" s="17" t="str">
        <x:v>No First/Secondly/Finally ladder; avoid stock “moreover/furthermore/another important” transitions; movement must follow two perspectives tested against the same evidence.</x:v>
      </x:c>
      <x:c r="U33" s="17" t="str">
        <x:v>Do not use “In conclusion”, “Taken together”, a generic call to action, or a thesis recap; end through a concrete next action.</x:v>
      </x:c>
      <x:c r="V33" s="17" t="str">
        <x:v>Keep lexical and structural distance from paired brief ECV2-PER-011 (“What repeated neighbourhood walks revealed over time”) and from the same Topic in other genres. Avoid benefits-list prose, institutional boilerplate and substituted-noun variants.</x:v>
      </x:c>
      <x:c r="W33" s="18" t="str">
        <x:v>Yes</x:v>
      </x:c>
      <x:c r="X33" s="18" t="str">
        <x:v>Yes</x:v>
      </x:c>
      <x:c r="Y33" s="18" t="str">
        <x:v>No</x:v>
      </x:c>
      <x:c r="Z33" s="18" t="str">
        <x:v>No</x:v>
      </x:c>
      <x:c r="AA33" s="18" t="str">
        <x:v>No</x:v>
      </x:c>
      <x:c r="AB33" s="18" t="str">
        <x:v>Yes</x:v>
      </x:c>
      <x:c r="AC33" s="18" t="str">
        <x:v>Yes</x:v>
      </x:c>
      <x:c r="AD33" s="18" t="str">
        <x:v>Yes</x:v>
      </x:c>
      <x:c r="AE33" s="18" t="str">
        <x:v>Yes</x:v>
      </x:c>
    </x:row>
    <x:row r="34" ht="64" customHeight="1">
      <x:c r="A34" s="16" t="str">
        <x:v>ECV2-PER-013</x:v>
      </x:c>
      <x:c r="B34" s="16" t="str">
        <x:v>NEW</x:v>
      </x:c>
      <x:c r="C34" s="16" t="str">
        <x:v>NEW</x:v>
      </x:c>
      <x:c r="D34" s="16" t="str">
        <x:v>NEW</x:v>
      </x:c>
      <x:c r="E34" s="16" t="str">
        <x:v>Personal writing</x:v>
      </x:c>
      <x:c r="F34" s="16" t="str">
        <x:v>Money &amp; the economy</x:v>
      </x:c>
      <x:c r="G34" s="16" t="str">
        <x:v>Personal correspondence</x:v>
      </x:c>
      <x:c r="H34" s="17" t="str">
        <x:v>A letter about changing the way two friends divide shared bills</x:v>
      </x:c>
      <x:c r="I34" s="17" t="str">
        <x:v>Communicate a personal decision or feeling through “A letter about changing the way two friends divide shared bills”.</x:v>
      </x:c>
      <x:c r="J34" s="17" t="str">
        <x:v>A thoughtful general reader</x:v>
      </x:c>
      <x:c r="K34" s="17" t="str">
        <x:v>Compact</x:v>
      </x:c>
      <x:c r="L34" s="17" t="str">
        <x:v>140–199 words</x:v>
      </x:c>
      <x:c r="M34" s="17" t="str">
        <x:v>Challenging</x:v>
      </x:c>
      <x:c r="N34" s="17" t="str">
        <x:v>Natural reflective British English</x:v>
      </x:c>
      <x:c r="O34" s="17" t="str">
        <x:v>First person singular</x:v>
      </x:c>
      <x:c r="P34" s="17" t="str">
        <x:v>Past narrative with present reflection</x:v>
      </x:c>
      <x:c r="Q34" s="17" t="str">
        <x:v>2 paragraphs: open with the immediate decision facing the reader; develop through two perspectives tested against the same evidence; close with a precise takeaway without recapping every paragraph.</x:v>
      </x:c>
      <x:c r="R34" s="17" t="str">
        <x:v>Use at least one contextual Arabic numeral; Include a percentage, currency amount or measurement; Include a purposeful direct quotation using straight single quotation marks; Use a colon naturally; Use at least one genuine question. Do not add other marked features artificially.</x:v>
      </x:c>
      <x:c r="S34" s="17" t="str">
        <x:v>Do not restate the title; do not open with “Money &amp; the economy is important”, “This article/message/proposal sets out…”, “The following…”, or any legacy family formula.</x:v>
      </x:c>
      <x:c r="T34" s="17" t="str">
        <x:v>No First/Secondly/Finally ladder; avoid stock “moreover/furthermore/another important” transitions; movement must follow two perspectives tested against the same evidence.</x:v>
      </x:c>
      <x:c r="U34" s="17" t="str">
        <x:v>Do not use “In conclusion”, “Taken together”, a generic call to action, or a thesis recap; end through a precise takeaway without recapping every paragraph.</x:v>
      </x:c>
      <x:c r="V34" s="17" t="str">
        <x:v>Keep lexical and structural distance from paired brief ECV2-PER-014 (“Saving for an urgent repair without abandoning every small pleasure”) and from the same Topic in other genres. Avoid benefits-list prose, institutional boilerplate and substituted-noun variants.</x:v>
      </x:c>
      <x:c r="W34" s="18" t="str">
        <x:v>Yes</x:v>
      </x:c>
      <x:c r="X34" s="18" t="str">
        <x:v>No</x:v>
      </x:c>
      <x:c r="Y34" s="18" t="str">
        <x:v>Yes</x:v>
      </x:c>
      <x:c r="Z34" s="18" t="str">
        <x:v>Yes</x:v>
      </x:c>
      <x:c r="AA34" s="18" t="str">
        <x:v>Yes</x:v>
      </x:c>
      <x:c r="AB34" s="18" t="str">
        <x:v>No</x:v>
      </x:c>
      <x:c r="AC34" s="18" t="str">
        <x:v>No</x:v>
      </x:c>
      <x:c r="AD34" s="18" t="str">
        <x:v>Yes</x:v>
      </x:c>
      <x:c r="AE34" s="18" t="str">
        <x:v>No</x:v>
      </x:c>
    </x:row>
    <x:row r="35" ht="64" customHeight="1">
      <x:c r="A35" s="16" t="str">
        <x:v>ECV2-PER-014</x:v>
      </x:c>
      <x:c r="B35" s="16" t="str">
        <x:v>NEW</x:v>
      </x:c>
      <x:c r="C35" s="16" t="str">
        <x:v>NEW</x:v>
      </x:c>
      <x:c r="D35" s="16" t="str">
        <x:v>NEW</x:v>
      </x:c>
      <x:c r="E35" s="16" t="str">
        <x:v>Personal writing</x:v>
      </x:c>
      <x:c r="F35" s="16" t="str">
        <x:v>Money &amp; the economy</x:v>
      </x:c>
      <x:c r="G35" s="16" t="str">
        <x:v>Personal narrative</x:v>
      </x:c>
      <x:c r="H35" s="17" t="str">
        <x:v>Saving for an urgent repair without abandoning every small pleasure</x:v>
      </x:c>
      <x:c r="I35" s="17" t="str">
        <x:v>Tell one bounded personal experience through “Saving for an urgent repair without abandoning every small pleasure”.</x:v>
      </x:c>
      <x:c r="J35" s="17" t="str">
        <x:v>A known friend or family member</x:v>
      </x:c>
      <x:c r="K35" s="17" t="str">
        <x:v>Standard</x:v>
      </x:c>
      <x:c r="L35" s="17" t="str">
        <x:v>200–349 words</x:v>
      </x:c>
      <x:c r="M35" s="17" t="str">
        <x:v>Challenging</x:v>
      </x:c>
      <x:c r="N35" s="17" t="str">
        <x:v>Warm but restrained conversational register</x:v>
      </x:c>
      <x:c r="O35" s="17" t="str">
        <x:v>First person addressing a known reader</x:v>
      </x:c>
      <x:c r="P35" s="17" t="str">
        <x:v>Present reflective</x:v>
      </x:c>
      <x:c r="Q35" s="17" t="str">
        <x:v>3 paragraphs: open with a consequential detail from a document; develop through two perspectives tested against the same evidence; close with a return to the opening image with changed meaning.</x:v>
      </x:c>
      <x:c r="R35" s="17" t="str">
        <x:v>Use natural full stops, commas and apostrophes; do not add marked punctuation or numbers artificially.</x:v>
      </x:c>
      <x:c r="S35" s="17" t="str">
        <x:v>Do not restate the title; do not open with “Money &amp; the economy is important”, “This article/message/proposal sets out…”, “The following…”, or any legacy family formula.</x:v>
      </x:c>
      <x:c r="T35" s="17" t="str">
        <x:v>No First/Secondly/Finally ladder; avoid stock “moreover/furthermore/another important” transitions; movement must follow two perspectives tested against the same evidence.</x:v>
      </x:c>
      <x:c r="U35" s="17" t="str">
        <x:v>Do not use “In conclusion”, “Taken together”, a generic call to action, or a thesis recap; end through a return to the opening image with changed meaning.</x:v>
      </x:c>
      <x:c r="V35" s="17" t="str">
        <x:v>Keep lexical and structural distance from paired brief ECV2-PER-013 (“A letter about changing the way two friends divide shared bills”) and from the same Topic in other genres. Avoid benefits-list prose, institutional boilerplate and substituted-noun variants.</x:v>
      </x:c>
      <x:c r="W35" s="18" t="str">
        <x:v>No</x:v>
      </x:c>
      <x:c r="X35" s="18" t="str">
        <x:v>No</x:v>
      </x:c>
      <x:c r="Y35" s="18" t="str">
        <x:v>No</x:v>
      </x:c>
      <x:c r="Z35" s="18" t="str">
        <x:v>No</x:v>
      </x:c>
      <x:c r="AA35" s="18" t="str">
        <x:v>No</x:v>
      </x:c>
      <x:c r="AB35" s="18" t="str">
        <x:v>No</x:v>
      </x:c>
      <x:c r="AC35" s="18" t="str">
        <x:v>No</x:v>
      </x:c>
      <x:c r="AD35" s="18" t="str">
        <x:v>No</x:v>
      </x:c>
      <x:c r="AE35" s="18" t="str">
        <x:v>No</x:v>
      </x:c>
    </x:row>
    <x:row r="36" ht="64" customHeight="1">
      <x:c r="A36" s="16" t="str">
        <x:v>ECV2-PER-015</x:v>
      </x:c>
      <x:c r="B36" s="16" t="str">
        <x:v>NEW</x:v>
      </x:c>
      <x:c r="C36" s="16" t="str">
        <x:v>NEW</x:v>
      </x:c>
      <x:c r="D36" s="16" t="str">
        <x:v>NEW</x:v>
      </x:c>
      <x:c r="E36" s="16" t="str">
        <x:v>Personal writing</x:v>
      </x:c>
      <x:c r="F36" s="16" t="str">
        <x:v>Public services &amp; civic life</x:v>
      </x:c>
      <x:c r="G36" s="16" t="str">
        <x:v>Observational sketch</x:v>
      </x:c>
      <x:c r="H36" s="17" t="str">
        <x:v>Helping a neighbour complete an unfamiliar public-service form</x:v>
      </x:c>
      <x:c r="I36" s="17" t="str">
        <x:v>Let ordinary details reveal a broader insight through “Helping a neighbour complete an unfamiliar public-service form”.</x:v>
      </x:c>
      <x:c r="J36" s="17" t="str">
        <x:v>A thoughtful general reader</x:v>
      </x:c>
      <x:c r="K36" s="17" t="str">
        <x:v>Standard</x:v>
      </x:c>
      <x:c r="L36" s="17" t="str">
        <x:v>200–349 words</x:v>
      </x:c>
      <x:c r="M36" s="17" t="str">
        <x:v>Accessible</x:v>
      </x:c>
      <x:c r="N36" s="17" t="str">
        <x:v>Concrete first-person literary non-fiction</x:v>
      </x:c>
      <x:c r="O36" s="17" t="str">
        <x:v>First person with observed dialogue</x:v>
      </x:c>
      <x:c r="P36" s="17" t="str">
        <x:v>Past with a forward-looking close</x:v>
      </x:c>
      <x:c r="Q36" s="17" t="str">
        <x:v>4 paragraphs: open with a time-stamped moment; develop through two perspectives tested against the same evidence; close with a final stakeholder voice.</x:v>
      </x:c>
      <x:c r="R36" s="17" t="str">
        <x:v>Use natural full stops, commas and apostrophes; do not add marked punctuation or numbers artificially.</x:v>
      </x:c>
      <x:c r="S36" s="17" t="str">
        <x:v>Do not restate the title; do not open with “Public services &amp; civic life is important”, “This article/message/proposal sets out…”, “The following…”, or any legacy family formula.</x:v>
      </x:c>
      <x:c r="T36" s="17" t="str">
        <x:v>No First/Secondly/Finally ladder; avoid stock “moreover/furthermore/another important” transitions; movement must follow two perspectives tested against the same evidence.</x:v>
      </x:c>
      <x:c r="U36" s="17" t="str">
        <x:v>Do not use “In conclusion”, “Taken together”, a generic call to action, or a thesis recap; end through a final stakeholder voice.</x:v>
      </x:c>
      <x:c r="V36" s="17" t="str">
        <x:v>Keep lexical and structural distance from paired brief ECV2-PER-016 (“Writing after an unclear appointment letter caused a wasted clinic visit”) and from the same Topic in other genres. Avoid benefits-list prose, institutional boilerplate and substituted-noun variants.</x:v>
      </x:c>
      <x:c r="W36" s="18" t="str">
        <x:v>No</x:v>
      </x:c>
      <x:c r="X36" s="18" t="str">
        <x:v>No</x:v>
      </x:c>
      <x:c r="Y36" s="18" t="str">
        <x:v>No</x:v>
      </x:c>
      <x:c r="Z36" s="18" t="str">
        <x:v>No</x:v>
      </x:c>
      <x:c r="AA36" s="18" t="str">
        <x:v>No</x:v>
      </x:c>
      <x:c r="AB36" s="18" t="str">
        <x:v>No</x:v>
      </x:c>
      <x:c r="AC36" s="18" t="str">
        <x:v>No</x:v>
      </x:c>
      <x:c r="AD36" s="18" t="str">
        <x:v>No</x:v>
      </x:c>
      <x:c r="AE36" s="18" t="str">
        <x:v>No</x:v>
      </x:c>
    </x:row>
    <x:row r="37" ht="64" customHeight="1">
      <x:c r="A37" s="16" t="str">
        <x:v>ECV2-PER-016</x:v>
      </x:c>
      <x:c r="B37" s="16" t="str">
        <x:v>NEW</x:v>
      </x:c>
      <x:c r="C37" s="16" t="str">
        <x:v>NEW</x:v>
      </x:c>
      <x:c r="D37" s="16" t="str">
        <x:v>NEW</x:v>
      </x:c>
      <x:c r="E37" s="16" t="str">
        <x:v>Personal writing</x:v>
      </x:c>
      <x:c r="F37" s="16" t="str">
        <x:v>Public services &amp; civic life</x:v>
      </x:c>
      <x:c r="G37" s="16" t="str">
        <x:v>Personal correspondence</x:v>
      </x:c>
      <x:c r="H37" s="17" t="str">
        <x:v>Writing after an unclear appointment letter caused a wasted clinic visit</x:v>
      </x:c>
      <x:c r="I37" s="17" t="str">
        <x:v>Communicate a personal decision or feeling through “Writing after an unclear appointment letter caused a wasted clinic visit”.</x:v>
      </x:c>
      <x:c r="J37" s="17" t="str">
        <x:v>A known friend or family member</x:v>
      </x:c>
      <x:c r="K37" s="17" t="str">
        <x:v>Standard</x:v>
      </x:c>
      <x:c r="L37" s="17" t="str">
        <x:v>200–349 words</x:v>
      </x:c>
      <x:c r="M37" s="17" t="str">
        <x:v>Challenging</x:v>
      </x:c>
      <x:c r="N37" s="17" t="str">
        <x:v>Natural reflective British English</x:v>
      </x:c>
      <x:c r="O37" s="17" t="str">
        <x:v>First person singular</x:v>
      </x:c>
      <x:c r="P37" s="17" t="str">
        <x:v>Past narrative with present reflection</x:v>
      </x:c>
      <x:c r="Q37" s="17" t="str">
        <x:v>5 paragraphs: open with an exception that challenges the usual assumption; develop through two perspectives tested against the same evidence; close with a forward time marker.</x:v>
      </x:c>
      <x:c r="R37" s="17" t="str">
        <x:v>Include a purposeful direct quotation using straight single quotation marks; Use a semicolon naturally; Use at least one genuine question. Do not add other marked features artificially.</x:v>
      </x:c>
      <x:c r="S37" s="17" t="str">
        <x:v>Do not restate the title; do not open with “Public services &amp; civic life is important”, “This article/message/proposal sets out…”, “The following…”, or any legacy family formula.</x:v>
      </x:c>
      <x:c r="T37" s="17" t="str">
        <x:v>No First/Secondly/Finally ladder; avoid stock “moreover/furthermore/another important” transitions; movement must follow two perspectives tested against the same evidence.</x:v>
      </x:c>
      <x:c r="U37" s="17" t="str">
        <x:v>Do not use “In conclusion”, “Taken together”, a generic call to action, or a thesis recap; end through a forward time marker.</x:v>
      </x:c>
      <x:c r="V37" s="17" t="str">
        <x:v>Keep lexical and structural distance from paired brief ECV2-PER-015 (“Helping a neighbour complete an unfamiliar public-service form”) and from the same Topic in other genres. Avoid benefits-list prose, institutional boilerplate and substituted-noun variants.</x:v>
      </x:c>
      <x:c r="W37" s="18" t="str">
        <x:v>No</x:v>
      </x:c>
      <x:c r="X37" s="18" t="str">
        <x:v>No</x:v>
      </x:c>
      <x:c r="Y37" s="18" t="str">
        <x:v>No</x:v>
      </x:c>
      <x:c r="Z37" s="18" t="str">
        <x:v>Yes</x:v>
      </x:c>
      <x:c r="AA37" s="18" t="str">
        <x:v>No</x:v>
      </x:c>
      <x:c r="AB37" s="18" t="str">
        <x:v>Yes</x:v>
      </x:c>
      <x:c r="AC37" s="18" t="str">
        <x:v>No</x:v>
      </x:c>
      <x:c r="AD37" s="18" t="str">
        <x:v>Yes</x:v>
      </x:c>
      <x:c r="AE37" s="18" t="str">
        <x:v>No</x:v>
      </x:c>
    </x:row>
    <x:row r="38" ht="64" customHeight="1">
      <x:c r="A38" s="16" t="str">
        <x:v>ECV2-PER-017</x:v>
      </x:c>
      <x:c r="B38" s="16" t="str">
        <x:v>6947738b-52f4-4196-af0e-054d20d80e2f</x:v>
      </x:c>
      <x:c r="C38" s="16" t="str">
        <x:v>Sharing Care for an Older Parent</x:v>
      </x:c>
      <x:c r="D38" s="16" t="str">
        <x:v>Rewrite completely</x:v>
      </x:c>
      <x:c r="E38" s="16" t="str">
        <x:v>Personal writing</x:v>
      </x:c>
      <x:c r="F38" s="16" t="str">
        <x:v>Family, community &amp; relationships</x:v>
      </x:c>
      <x:c r="G38" s="16" t="str">
        <x:v>Personal correspondence</x:v>
      </x:c>
      <x:c r="H38" s="17" t="str">
        <x:v>Writing to siblings about sharing care for an older parent</x:v>
      </x:c>
      <x:c r="I38" s="17" t="str">
        <x:v>Communicate a personal decision or feeling through “Writing to siblings about sharing care for an older parent”.</x:v>
      </x:c>
      <x:c r="J38" s="17" t="str">
        <x:v>A thoughtful general reader</x:v>
      </x:c>
      <x:c r="K38" s="17" t="str">
        <x:v>Extended</x:v>
      </x:c>
      <x:c r="L38" s="17" t="str">
        <x:v>350–500 words</x:v>
      </x:c>
      <x:c r="M38" s="17" t="str">
        <x:v>Challenging</x:v>
      </x:c>
      <x:c r="N38" s="17" t="str">
        <x:v>Warm but restrained conversational register</x:v>
      </x:c>
      <x:c r="O38" s="17" t="str">
        <x:v>First person addressing a known reader</x:v>
      </x:c>
      <x:c r="P38" s="17" t="str">
        <x:v>Present reflective</x:v>
      </x:c>
      <x:c r="Q38" s="17" t="str">
        <x:v>5 paragraphs: open with the practical consequence before its cause; develop through two perspectives tested against the same evidence; close with the next decision that must be made.</x:v>
      </x:c>
      <x:c r="R38" s="17" t="str">
        <x:v>Include a purposeful direct quotation using straight single quotation marks; Use a colon naturally. Do not add other marked features artificially.</x:v>
      </x:c>
      <x:c r="S38" s="17" t="str">
        <x:v>Do not restate the title; do not open with “Family, community &amp; relationships is important”, “This article/message/proposal sets out…”, “The following…”, or any legacy family formula.</x:v>
      </x:c>
      <x:c r="T38" s="17" t="str">
        <x:v>No First/Secondly/Finally ladder; avoid stock “moreover/furthermore/another important” transitions; movement must follow two perspectives tested against the same evidence.</x:v>
      </x:c>
      <x:c r="U38" s="17" t="str">
        <x:v>Do not use “In conclusion”, “Taken together”, a generic call to action, or a thesis recap; end through the next decision that must be made.</x:v>
      </x:c>
      <x:c r="V38" s="17" t="str">
        <x:v>Keep lexical and structural distance from paired brief ECV2-PER-018 (“Passing a family recipe to someone cooking it for the first time”) and from the same Topic in other genres. Avoid benefits-list prose, institutional boilerplate and substituted-noun variants. Do not reuse wording, paragraph order or conclusions from “Sharing Care for an Older Parent”; its former copy is reference-only.</x:v>
      </x:c>
      <x:c r="W38" s="18" t="str">
        <x:v>No</x:v>
      </x:c>
      <x:c r="X38" s="18" t="str">
        <x:v>No</x:v>
      </x:c>
      <x:c r="Y38" s="18" t="str">
        <x:v>No</x:v>
      </x:c>
      <x:c r="Z38" s="18" t="str">
        <x:v>Yes</x:v>
      </x:c>
      <x:c r="AA38" s="18" t="str">
        <x:v>Yes</x:v>
      </x:c>
      <x:c r="AB38" s="18" t="str">
        <x:v>No</x:v>
      </x:c>
      <x:c r="AC38" s="18" t="str">
        <x:v>No</x:v>
      </x:c>
      <x:c r="AD38" s="18" t="str">
        <x:v>No</x:v>
      </x:c>
      <x:c r="AE38" s="18" t="str">
        <x:v>No</x:v>
      </x:c>
    </x:row>
    <x:row r="39" ht="64" customHeight="1">
      <x:c r="A39" s="16" t="str">
        <x:v>ECV2-PER-018</x:v>
      </x:c>
      <x:c r="B39" s="16" t="str">
        <x:v>NEW</x:v>
      </x:c>
      <x:c r="C39" s="16" t="str">
        <x:v>NEW</x:v>
      </x:c>
      <x:c r="D39" s="16" t="str">
        <x:v>NEW</x:v>
      </x:c>
      <x:c r="E39" s="16" t="str">
        <x:v>Personal writing</x:v>
      </x:c>
      <x:c r="F39" s="16" t="str">
        <x:v>Family, community &amp; relationships</x:v>
      </x:c>
      <x:c r="G39" s="16" t="str">
        <x:v>Personal correspondence</x:v>
      </x:c>
      <x:c r="H39" s="17" t="str">
        <x:v>Passing a family recipe to someone cooking it for the first time</x:v>
      </x:c>
      <x:c r="I39" s="17" t="str">
        <x:v>Communicate a personal decision or feeling through “Passing a family recipe to someone cooking it for the first time”.</x:v>
      </x:c>
      <x:c r="J39" s="17" t="str">
        <x:v>A known friend or family member</x:v>
      </x:c>
      <x:c r="K39" s="17" t="str">
        <x:v>Extended</x:v>
      </x:c>
      <x:c r="L39" s="17" t="str">
        <x:v>350–500 words</x:v>
      </x:c>
      <x:c r="M39" s="17" t="str">
        <x:v>Core</x:v>
      </x:c>
      <x:c r="N39" s="17" t="str">
        <x:v>Concrete first-person literary non-fiction</x:v>
      </x:c>
      <x:c r="O39" s="17" t="str">
        <x:v>First person with observed dialogue</x:v>
      </x:c>
      <x:c r="P39" s="17" t="str">
        <x:v>Past with a forward-looking close</x:v>
      </x:c>
      <x:c r="Q39" s="17" t="str">
        <x:v>6 paragraphs: open with a stakeholder voice; develop through two perspectives tested against the same evidence; close with one measurable consequence.</x:v>
      </x:c>
      <x:c r="R39" s="17" t="str">
        <x:v>Include a purposeful direct quotation using straight single quotation marks; Use one necessary parenthetical phrase. Do not add other marked features artificially.</x:v>
      </x:c>
      <x:c r="S39" s="17" t="str">
        <x:v>Do not restate the title; do not open with “Family, community &amp; relationships is important”, “This article/message/proposal sets out…”, “The following…”, or any legacy family formula.</x:v>
      </x:c>
      <x:c r="T39" s="17" t="str">
        <x:v>No First/Secondly/Finally ladder; avoid stock “moreover/furthermore/another important” transitions; movement must follow two perspectives tested against the same evidence.</x:v>
      </x:c>
      <x:c r="U39" s="17" t="str">
        <x:v>Do not use “In conclusion”, “Taken together”, a generic call to action, or a thesis recap; end through one measurable consequence.</x:v>
      </x:c>
      <x:c r="V39" s="17" t="str">
        <x:v>Keep lexical and structural distance from paired brief ECV2-PER-017 (“Writing to siblings about sharing care for an older parent”) and from the same Topic in other genres. Avoid benefits-list prose, institutional boilerplate and substituted-noun variants.</x:v>
      </x:c>
      <x:c r="W39" s="18" t="str">
        <x:v>No</x:v>
      </x:c>
      <x:c r="X39" s="18" t="str">
        <x:v>No</x:v>
      </x:c>
      <x:c r="Y39" s="18" t="str">
        <x:v>No</x:v>
      </x:c>
      <x:c r="Z39" s="18" t="str">
        <x:v>Yes</x:v>
      </x:c>
      <x:c r="AA39" s="18" t="str">
        <x:v>No</x:v>
      </x:c>
      <x:c r="AB39" s="18" t="str">
        <x:v>No</x:v>
      </x:c>
      <x:c r="AC39" s="18" t="str">
        <x:v>Yes</x:v>
      </x:c>
      <x:c r="AD39" s="18" t="str">
        <x:v>No</x:v>
      </x:c>
      <x:c r="AE39" s="18" t="str">
        <x:v>No</x:v>
      </x:c>
    </x:row>
    <x:row r="40" ht="64" customHeight="1">
      <x:c r="A40" s="16" t="str">
        <x:v>ECV2-PER-019</x:v>
      </x:c>
      <x:c r="B40" s="16" t="str">
        <x:v>248158a6-12d4-4c29-a3fd-2f8d8468b402</x:v>
      </x:c>
      <x:c r="C40" s="16" t="str">
        <x:v>Learning to Notice Small Details</x:v>
      </x:c>
      <x:c r="D40" s="16" t="str">
        <x:v>Expand</x:v>
      </x:c>
      <x:c r="E40" s="16" t="str">
        <x:v>Personal writing</x:v>
      </x:c>
      <x:c r="F40" s="16" t="str">
        <x:v>Culture, leisure &amp; everyday life</x:v>
      </x:c>
      <x:c r="G40" s="16" t="str">
        <x:v>Observational sketch</x:v>
      </x:c>
      <x:c r="H40" s="17" t="str">
        <x:v>Learning to notice small improvements in an ordinary week</x:v>
      </x:c>
      <x:c r="I40" s="17" t="str">
        <x:v>Let ordinary details reveal a broader insight through “Learning to notice small improvements in an ordinary week”.</x:v>
      </x:c>
      <x:c r="J40" s="17" t="str">
        <x:v>A thoughtful general reader</x:v>
      </x:c>
      <x:c r="K40" s="17" t="str">
        <x:v>Compact</x:v>
      </x:c>
      <x:c r="L40" s="17" t="str">
        <x:v>140–199 words</x:v>
      </x:c>
      <x:c r="M40" s="17" t="str">
        <x:v>Accessible</x:v>
      </x:c>
      <x:c r="N40" s="17" t="str">
        <x:v>Natural reflective British English</x:v>
      </x:c>
      <x:c r="O40" s="17" t="str">
        <x:v>First person singular</x:v>
      </x:c>
      <x:c r="P40" s="17" t="str">
        <x:v>Past narrative with present reflection</x:v>
      </x:c>
      <x:c r="Q40" s="17" t="str">
        <x:v>2 paragraphs: open with a process already in motion; develop through two perspectives tested against the same evidence; close with the exception that still needs attention.</x:v>
      </x:c>
      <x:c r="R40" s="17" t="str">
        <x:v>Use natural full stops, commas and apostrophes; do not add marked punctuation or numbers artificially.</x:v>
      </x:c>
      <x:c r="S40" s="17" t="str">
        <x:v>Do not restate the title; do not open with “Culture, leisure &amp; everyday life is important”, “This article/message/proposal sets out…”, “The following…”, or any legacy family formula.</x:v>
      </x:c>
      <x:c r="T40" s="17" t="str">
        <x:v>No First/Secondly/Finally ladder; avoid stock “moreover/furthermore/another important” transitions; movement must follow two perspectives tested against the same evidence.</x:v>
      </x:c>
      <x:c r="U40" s="17" t="str">
        <x:v>Do not use “In conclusion”, “Taken together”, a generic call to action, or a thesis recap; end through the exception that still needs attention.</x:v>
      </x:c>
      <x:c r="V40" s="17" t="str">
        <x:v>Keep lexical and structural distance from paired brief ECV2-PER-020 (“A walk home after a concert changed how the city sounded”) and from the same Topic in other genres. Avoid benefits-list prose, institutional boilerplate and substituted-noun variants. Do not reuse wording, paragraph order or conclusions from “Learning to Notice Small Details”; its former copy is reference-only.</x:v>
      </x:c>
      <x:c r="W40" s="18" t="str">
        <x:v>No</x:v>
      </x:c>
      <x:c r="X40" s="18" t="str">
        <x:v>No</x:v>
      </x:c>
      <x:c r="Y40" s="18" t="str">
        <x:v>No</x:v>
      </x:c>
      <x:c r="Z40" s="18" t="str">
        <x:v>No</x:v>
      </x:c>
      <x:c r="AA40" s="18" t="str">
        <x:v>No</x:v>
      </x:c>
      <x:c r="AB40" s="18" t="str">
        <x:v>No</x:v>
      </x:c>
      <x:c r="AC40" s="18" t="str">
        <x:v>No</x:v>
      </x:c>
      <x:c r="AD40" s="18" t="str">
        <x:v>No</x:v>
      </x:c>
      <x:c r="AE40" s="18" t="str">
        <x:v>No</x:v>
      </x:c>
    </x:row>
    <x:row r="41" ht="64" customHeight="1">
      <x:c r="A41" s="16" t="str">
        <x:v>ECV2-PER-020</x:v>
      </x:c>
      <x:c r="B41" s="16" t="str">
        <x:v>NEW</x:v>
      </x:c>
      <x:c r="C41" s="16" t="str">
        <x:v>NEW</x:v>
      </x:c>
      <x:c r="D41" s="16" t="str">
        <x:v>NEW</x:v>
      </x:c>
      <x:c r="E41" s="16" t="str">
        <x:v>Personal writing</x:v>
      </x:c>
      <x:c r="F41" s="16" t="str">
        <x:v>Culture, leisure &amp; everyday life</x:v>
      </x:c>
      <x:c r="G41" s="16" t="str">
        <x:v>Place or travel vignette</x:v>
      </x:c>
      <x:c r="H41" s="17" t="str">
        <x:v>A walk home after a concert changed how the city sounded</x:v>
      </x:c>
      <x:c r="I41" s="17" t="str">
        <x:v>Use place and movement to explore “A walk home after a concert changed how the city sounded”.</x:v>
      </x:c>
      <x:c r="J41" s="17" t="str">
        <x:v>A known friend or family member</x:v>
      </x:c>
      <x:c r="K41" s="17" t="str">
        <x:v>Extended</x:v>
      </x:c>
      <x:c r="L41" s="17" t="str">
        <x:v>350–500 words</x:v>
      </x:c>
      <x:c r="M41" s="17" t="str">
        <x:v>Core</x:v>
      </x:c>
      <x:c r="N41" s="17" t="str">
        <x:v>Warm but restrained conversational register</x:v>
      </x:c>
      <x:c r="O41" s="17" t="str">
        <x:v>First person addressing a known reader</x:v>
      </x:c>
      <x:c r="P41" s="17" t="str">
        <x:v>Present reflective</x:v>
      </x:c>
      <x:c r="Q41" s="17" t="str">
        <x:v>5 paragraphs: open with a corrected misconception; develop through two perspectives tested against the same evidence; close with an unresolved but specific implication.</x:v>
      </x:c>
      <x:c r="R41" s="17" t="str">
        <x:v>Use at least one genuine question; Use one restrained exclamation mark. Do not add other marked features artificially.</x:v>
      </x:c>
      <x:c r="S41" s="17" t="str">
        <x:v>Do not restate the title; do not open with “Culture, leisure &amp; everyday life is important”, “This article/message/proposal sets out…”, “The following…”, or any legacy family formula.</x:v>
      </x:c>
      <x:c r="T41" s="17" t="str">
        <x:v>No First/Secondly/Finally ladder; avoid stock “moreover/furthermore/another important” transitions; movement must follow two perspectives tested against the same evidence.</x:v>
      </x:c>
      <x:c r="U41" s="17" t="str">
        <x:v>Do not use “In conclusion”, “Taken together”, a generic call to action, or a thesis recap; end through an unresolved but specific implication.</x:v>
      </x:c>
      <x:c r="V41" s="17" t="str">
        <x:v>Keep lexical and structural distance from paired brief ECV2-PER-019 (“Learning to notice small improvements in an ordinary week”) and from the same Topic in other genres. Avoid benefits-list prose, institutional boilerplate and substituted-noun variants.</x:v>
      </x:c>
      <x:c r="W41" s="18" t="str">
        <x:v>No</x:v>
      </x:c>
      <x:c r="X41" s="18" t="str">
        <x:v>No</x:v>
      </x:c>
      <x:c r="Y41" s="18" t="str">
        <x:v>No</x:v>
      </x:c>
      <x:c r="Z41" s="18" t="str">
        <x:v>No</x:v>
      </x:c>
      <x:c r="AA41" s="18" t="str">
        <x:v>No</x:v>
      </x:c>
      <x:c r="AB41" s="18" t="str">
        <x:v>No</x:v>
      </x:c>
      <x:c r="AC41" s="18" t="str">
        <x:v>No</x:v>
      </x:c>
      <x:c r="AD41" s="18" t="str">
        <x:v>Yes</x:v>
      </x:c>
      <x:c r="AE41" s="18" t="str">
        <x:v>Yes</x:v>
      </x:c>
    </x:row>
    <x:row r="42" ht="64" customHeight="1">
      <x:c r="A42" s="16" t="str">
        <x:v>ECV2-NEW-001</x:v>
      </x:c>
      <x:c r="B42" s="16" t="str">
        <x:v>20030528-60b9-475b-905d-d29ad44f3b98</x:v>
      </x:c>
      <x:c r="C42" s="16" t="str">
        <x:v>Platform Workers Seek Portable Benefits</x:v>
      </x:c>
      <x:c r="D42" s="16" t="str">
        <x:v>Rewrite completely</x:v>
      </x:c>
      <x:c r="E42" s="16" t="str">
        <x:v>News</x:v>
      </x:c>
      <x:c r="F42" s="16" t="str">
        <x:v>Work &amp; organisations</x:v>
      </x:c>
      <x:c r="G42" s="16" t="str">
        <x:v>Follow-up report</x:v>
      </x:c>
      <x:c r="H42" s="17" t="str">
        <x:v>Platform workers renew calls for portable employment benefits</x:v>
      </x:c>
      <x:c r="I42" s="17" t="str">
        <x:v>Explain verified developments since the initial event in “Platform workers renew calls for portable employment benefits”.</x:v>
      </x:c>
      <x:c r="J42" s="17" t="str">
        <x:v>Local and general news readers</x:v>
      </x:c>
      <x:c r="K42" s="17" t="str">
        <x:v>Standard</x:v>
      </x:c>
      <x:c r="L42" s="17" t="str">
        <x:v>200–349 words</x:v>
      </x:c>
      <x:c r="M42" s="17" t="str">
        <x:v>Core</x:v>
      </x:c>
      <x:c r="N42" s="17" t="str">
        <x:v>Neutral newsroom British English</x:v>
      </x:c>
      <x:c r="O42" s="17" t="str">
        <x:v>Third person with attributed sources</x:v>
      </x:c>
      <x:c r="P42" s="17" t="str">
        <x:v>Past and present perfect for events; present for current status</x:v>
      </x:c>
      <x:c r="Q42" s="17" t="str">
        <x:v>4 paragraphs: open with one meaningful data point; develop through two perspectives tested against the same evidence; close with one measurable consequence.</x:v>
      </x:c>
      <x:c r="R42" s="17" t="str">
        <x:v>Use a colon naturally. Do not add other marked features artificially.</x:v>
      </x:c>
      <x:c r="S42" s="17" t="str">
        <x:v>Do not restate the title; do not open with “Work &amp; organisations is important”, “This article/message/proposal sets out…”, “The following…”, or any legacy family formula.</x:v>
      </x:c>
      <x:c r="T42" s="17" t="str">
        <x:v>No First/Secondly/Finally ladder; avoid stock “moreover/furthermore/another important” transitions; movement must follow two perspectives tested against the same evidence.</x:v>
      </x:c>
      <x:c r="U42" s="17" t="str">
        <x:v>Do not use “In conclusion”, “Taken together”, a generic call to action, or a thesis recap; end through one measurable consequence.</x:v>
      </x:c>
      <x:c r="V42" s="17" t="str">
        <x:v>Keep lexical and structural distance from paired brief ECV2-NEW-002 (“A four-day rota trial begins at a regional manufacturer”) and from the same Topic in other genres. Avoid benefits-list prose, institutional boilerplate and substituted-noun variants. Do not reuse wording, paragraph order or conclusions from “Platform Workers Seek Portable Benefits”; its former copy is reference-only.</x:v>
      </x:c>
      <x:c r="W42" s="18" t="str">
        <x:v>No</x:v>
      </x:c>
      <x:c r="X42" s="18" t="str">
        <x:v>No</x:v>
      </x:c>
      <x:c r="Y42" s="18" t="str">
        <x:v>No</x:v>
      </x:c>
      <x:c r="Z42" s="18" t="str">
        <x:v>No</x:v>
      </x:c>
      <x:c r="AA42" s="18" t="str">
        <x:v>Yes</x:v>
      </x:c>
      <x:c r="AB42" s="18" t="str">
        <x:v>No</x:v>
      </x:c>
      <x:c r="AC42" s="18" t="str">
        <x:v>No</x:v>
      </x:c>
      <x:c r="AD42" s="18" t="str">
        <x:v>No</x:v>
      </x:c>
      <x:c r="AE42" s="18" t="str">
        <x:v>No</x:v>
      </x:c>
    </x:row>
    <x:row r="43" ht="64" customHeight="1">
      <x:c r="A43" s="16" t="str">
        <x:v>ECV2-NEW-002</x:v>
      </x:c>
      <x:c r="B43" s="16" t="str">
        <x:v>NEW</x:v>
      </x:c>
      <x:c r="C43" s="16" t="str">
        <x:v>NEW</x:v>
      </x:c>
      <x:c r="D43" s="16" t="str">
        <x:v>NEW</x:v>
      </x:c>
      <x:c r="E43" s="16" t="str">
        <x:v>News</x:v>
      </x:c>
      <x:c r="F43" s="16" t="str">
        <x:v>Work &amp; organisations</x:v>
      </x:c>
      <x:c r="G43" s="16" t="str">
        <x:v>Interview-led report</x:v>
      </x:c>
      <x:c r="H43" s="17" t="str">
        <x:v>A four-day rota trial begins at a regional manufacturer</x:v>
      </x:c>
      <x:c r="I43" s="17" t="str">
        <x:v>Report contrasting first-hand accounts within “A four-day rota trial begins at a regional manufacturer”.</x:v>
      </x:c>
      <x:c r="J43" s="17" t="str">
        <x:v>People directly affected by the reported development</x:v>
      </x:c>
      <x:c r="K43" s="17" t="str">
        <x:v>Standard</x:v>
      </x:c>
      <x:c r="L43" s="17" t="str">
        <x:v>200–349 words</x:v>
      </x:c>
      <x:c r="M43" s="17" t="str">
        <x:v>Core</x:v>
      </x:c>
      <x:c r="N43" s="17" t="str">
        <x:v>Concise public-interest reporting register</x:v>
      </x:c>
      <x:c r="O43" s="17" t="str">
        <x:v>Third person; no editorial narrator</x:v>
      </x:c>
      <x:c r="P43" s="17" t="str">
        <x:v>Present for live arrangements and past for verified developments</x:v>
      </x:c>
      <x:c r="Q43" s="17" t="str">
        <x:v>5 paragraphs: open with a physical place or object; develop through two perspectives tested against the same evidence; close with the exception that still needs attention.</x:v>
      </x:c>
      <x:c r="R43" s="17" t="str">
        <x:v>Use at least one contextual Arabic numeral; Include a purposeful direct quotation using straight single quotation marks; Use at least one genuine question. Do not add other marked features artificially.</x:v>
      </x:c>
      <x:c r="S43" s="17" t="str">
        <x:v>Do not restate the title; do not open with “Work &amp; organisations is important”, “This article/message/proposal sets out…”, “The following…”, or any legacy family formula.</x:v>
      </x:c>
      <x:c r="T43" s="17" t="str">
        <x:v>No First/Secondly/Finally ladder; avoid stock “moreover/furthermore/another important” transitions; movement must follow two perspectives tested against the same evidence.</x:v>
      </x:c>
      <x:c r="U43" s="17" t="str">
        <x:v>Do not use “In conclusion”, “Taken together”, a generic call to action, or a thesis recap; end through the exception that still needs attention.</x:v>
      </x:c>
      <x:c r="V43" s="17" t="str">
        <x:v>Keep lexical and structural distance from paired brief ECV2-NEW-001 (“Platform workers renew calls for portable employment benefits”) and from the same Topic in other genres. Avoid benefits-list prose, institutional boilerplate and substituted-noun variants.</x:v>
      </x:c>
      <x:c r="W43" s="18" t="str">
        <x:v>Yes</x:v>
      </x:c>
      <x:c r="X43" s="18" t="str">
        <x:v>No</x:v>
      </x:c>
      <x:c r="Y43" s="18" t="str">
        <x:v>No</x:v>
      </x:c>
      <x:c r="Z43" s="18" t="str">
        <x:v>Yes</x:v>
      </x:c>
      <x:c r="AA43" s="18" t="str">
        <x:v>No</x:v>
      </x:c>
      <x:c r="AB43" s="18" t="str">
        <x:v>No</x:v>
      </x:c>
      <x:c r="AC43" s="18" t="str">
        <x:v>No</x:v>
      </x:c>
      <x:c r="AD43" s="18" t="str">
        <x:v>Yes</x:v>
      </x:c>
      <x:c r="AE43" s="18" t="str">
        <x:v>No</x:v>
      </x:c>
    </x:row>
    <x:row r="44" ht="64" customHeight="1">
      <x:c r="A44" s="16" t="str">
        <x:v>ECV2-NEW-003</x:v>
      </x:c>
      <x:c r="B44" s="16" t="str">
        <x:v>56ab756e-b97e-44aa-8658-2c893aed52f9</x:v>
      </x:c>
      <x:c r="C44" s="16" t="str">
        <x:v>New Rules Proposed for High-Risk Artificial Intelligence</x:v>
      </x:c>
      <x:c r="D44" s="16" t="str">
        <x:v>Rewrite completely</x:v>
      </x:c>
      <x:c r="E44" s="16" t="str">
        <x:v>News</x:v>
      </x:c>
      <x:c r="F44" s="16" t="str">
        <x:v>Technology &amp; digital life</x:v>
      </x:c>
      <x:c r="G44" s="16" t="str">
        <x:v>Straight report</x:v>
      </x:c>
      <x:c r="H44" s="17" t="str">
        <x:v>Regulators publish proposed rules for high-risk artificial intelligence</x:v>
      </x:c>
      <x:c r="I44" s="17" t="str">
        <x:v>Report the essential verified facts of “Regulators publish proposed rules for high-risk artificial intelligence”.</x:v>
      </x:c>
      <x:c r="J44" s="17" t="str">
        <x:v>Local and general news readers</x:v>
      </x:c>
      <x:c r="K44" s="17" t="str">
        <x:v>Standard</x:v>
      </x:c>
      <x:c r="L44" s="17" t="str">
        <x:v>200–349 words</x:v>
      </x:c>
      <x:c r="M44" s="17" t="str">
        <x:v>Challenging</x:v>
      </x:c>
      <x:c r="N44" s="17" t="str">
        <x:v>Evidence-led news register</x:v>
      </x:c>
      <x:c r="O44" s="17" t="str">
        <x:v>Third person with attributed sources</x:v>
      </x:c>
      <x:c r="P44" s="17" t="str">
        <x:v>Past and present perfect for events; present for current status</x:v>
      </x:c>
      <x:c r="Q44" s="17" t="str">
        <x:v>3 paragraphs: open with a concrete action already under way; develop through problem, response and a stated limitation; close with an unresolved but specific implication.</x:v>
      </x:c>
      <x:c r="R44" s="17" t="str">
        <x:v>Use natural full stops, commas and apostrophes; do not add marked punctuation or numbers artificially.</x:v>
      </x:c>
      <x:c r="S44" s="17" t="str">
        <x:v>Do not restate the title; do not open with “Technology &amp; digital life is important”, “This article/message/proposal sets out…”, “The following…”, or any legacy family formula.</x:v>
      </x:c>
      <x:c r="T44" s="17" t="str">
        <x:v>No First/Secondly/Finally ladder; avoid stock “moreover/furthermore/another important” transitions; movement must follow problem, response and a stated limitation.</x:v>
      </x:c>
      <x:c r="U44" s="17" t="str">
        <x:v>Do not use “In conclusion”, “Taken together”, a generic call to action, or a thesis recap; end through an unresolved but specific implication.</x:v>
      </x:c>
      <x:c r="V44" s="17" t="str">
        <x:v>Keep lexical and structural distance from paired brief ECV2-NEW-004 (“A hospital network restores systems after a weekend outage”) and from the same Topic in other genres. Avoid benefits-list prose, institutional boilerplate and substituted-noun variants. Do not reuse wording, paragraph order or conclusions from “New Rules Proposed for High-Risk Artificial Intelligence”; its former copy is reference-only.</x:v>
      </x:c>
      <x:c r="W44" s="18" t="str">
        <x:v>No</x:v>
      </x:c>
      <x:c r="X44" s="18" t="str">
        <x:v>No</x:v>
      </x:c>
      <x:c r="Y44" s="18" t="str">
        <x:v>No</x:v>
      </x:c>
      <x:c r="Z44" s="18" t="str">
        <x:v>No</x:v>
      </x:c>
      <x:c r="AA44" s="18" t="str">
        <x:v>No</x:v>
      </x:c>
      <x:c r="AB44" s="18" t="str">
        <x:v>No</x:v>
      </x:c>
      <x:c r="AC44" s="18" t="str">
        <x:v>No</x:v>
      </x:c>
      <x:c r="AD44" s="18" t="str">
        <x:v>No</x:v>
      </x:c>
      <x:c r="AE44" s="18" t="str">
        <x:v>No</x:v>
      </x:c>
    </x:row>
    <x:row r="45" ht="64" customHeight="1">
      <x:c r="A45" s="16" t="str">
        <x:v>ECV2-NEW-004</x:v>
      </x:c>
      <x:c r="B45" s="16" t="str">
        <x:v>NEW</x:v>
      </x:c>
      <x:c r="C45" s="16" t="str">
        <x:v>NEW</x:v>
      </x:c>
      <x:c r="D45" s="16" t="str">
        <x:v>NEW</x:v>
      </x:c>
      <x:c r="E45" s="16" t="str">
        <x:v>News</x:v>
      </x:c>
      <x:c r="F45" s="16" t="str">
        <x:v>Technology &amp; digital life</x:v>
      </x:c>
      <x:c r="G45" s="16" t="str">
        <x:v>Follow-up report</x:v>
      </x:c>
      <x:c r="H45" s="17" t="str">
        <x:v>A hospital network restores systems after a weekend outage</x:v>
      </x:c>
      <x:c r="I45" s="17" t="str">
        <x:v>Explain verified developments since the initial event in “A hospital network restores systems after a weekend outage”.</x:v>
      </x:c>
      <x:c r="J45" s="17" t="str">
        <x:v>People directly affected by the reported development</x:v>
      </x:c>
      <x:c r="K45" s="17" t="str">
        <x:v>Standard</x:v>
      </x:c>
      <x:c r="L45" s="17" t="str">
        <x:v>200–349 words</x:v>
      </x:c>
      <x:c r="M45" s="17" t="str">
        <x:v>Core</x:v>
      </x:c>
      <x:c r="N45" s="17" t="str">
        <x:v>Neutral newsroom British English</x:v>
      </x:c>
      <x:c r="O45" s="17" t="str">
        <x:v>Third person; no editorial narrator</x:v>
      </x:c>
      <x:c r="P45" s="17" t="str">
        <x:v>Present for live arrangements and past for verified developments</x:v>
      </x:c>
      <x:c r="Q45" s="17" t="str">
        <x:v>4 paragraphs: open with a brief contrast between expectation and result; develop through problem, response and a stated limitation; close with a practical boundary rather than a promise.</x:v>
      </x:c>
      <x:c r="R45" s="17" t="str">
        <x:v>Use at least one contextual Arabic numeral; Include a date or time; Include a purposeful direct quotation using straight single quotation marks; Use a semicolon naturally. Do not add other marked features artificially.</x:v>
      </x:c>
      <x:c r="S45" s="17" t="str">
        <x:v>Do not restate the title; do not open with “Technology &amp; digital life is important”, “This article/message/proposal sets out…”, “The following…”, or any legacy family formula.</x:v>
      </x:c>
      <x:c r="T45" s="17" t="str">
        <x:v>No First/Secondly/Finally ladder; avoid stock “moreover/furthermore/another important” transitions; movement must follow problem, response and a stated limitation.</x:v>
      </x:c>
      <x:c r="U45" s="17" t="str">
        <x:v>Do not use “In conclusion”, “Taken together”, a generic call to action, or a thesis recap; end through a practical boundary rather than a promise.</x:v>
      </x:c>
      <x:c r="V45" s="17" t="str">
        <x:v>Keep lexical and structural distance from paired brief ECV2-NEW-003 (“Regulators publish proposed rules for high-risk artificial intelligence”) and from the same Topic in other genres. Avoid benefits-list prose, institutional boilerplate and substituted-noun variants.</x:v>
      </x:c>
      <x:c r="W45" s="18" t="str">
        <x:v>Yes</x:v>
      </x:c>
      <x:c r="X45" s="18" t="str">
        <x:v>Yes</x:v>
      </x:c>
      <x:c r="Y45" s="18" t="str">
        <x:v>No</x:v>
      </x:c>
      <x:c r="Z45" s="18" t="str">
        <x:v>Yes</x:v>
      </x:c>
      <x:c r="AA45" s="18" t="str">
        <x:v>No</x:v>
      </x:c>
      <x:c r="AB45" s="18" t="str">
        <x:v>Yes</x:v>
      </x:c>
      <x:c r="AC45" s="18" t="str">
        <x:v>No</x:v>
      </x:c>
      <x:c r="AD45" s="18" t="str">
        <x:v>No</x:v>
      </x:c>
      <x:c r="AE45" s="18" t="str">
        <x:v>No</x:v>
      </x:c>
    </x:row>
    <x:row r="46" ht="64" customHeight="1">
      <x:c r="A46" s="16" t="str">
        <x:v>ECV2-NEW-005</x:v>
      </x:c>
      <x:c r="B46" s="16" t="str">
        <x:v>NEW</x:v>
      </x:c>
      <x:c r="C46" s="16" t="str">
        <x:v>NEW</x:v>
      </x:c>
      <x:c r="D46" s="16" t="str">
        <x:v>NEW</x:v>
      </x:c>
      <x:c r="E46" s="16" t="str">
        <x:v>News</x:v>
      </x:c>
      <x:c r="F46" s="16" t="str">
        <x:v>Health &amp; wellbeing</x:v>
      </x:c>
      <x:c r="G46" s="16" t="str">
        <x:v>Public-service report</x:v>
      </x:c>
      <x:c r="H46" s="17" t="str">
        <x:v>Clinics extend evening vaccination appointments before winter</x:v>
      </x:c>
      <x:c r="I46" s="17" t="str">
        <x:v>Tell readers what changed, who is affected and what to do next in “Clinics extend evening vaccination appointments before winter”.</x:v>
      </x:c>
      <x:c r="J46" s="17" t="str">
        <x:v>Local and general news readers</x:v>
      </x:c>
      <x:c r="K46" s="17" t="str">
        <x:v>Compact</x:v>
      </x:c>
      <x:c r="L46" s="17" t="str">
        <x:v>140–199 words</x:v>
      </x:c>
      <x:c r="M46" s="17" t="str">
        <x:v>Accessible</x:v>
      </x:c>
      <x:c r="N46" s="17" t="str">
        <x:v>Concise public-interest reporting register</x:v>
      </x:c>
      <x:c r="O46" s="17" t="str">
        <x:v>Third person with attributed sources</x:v>
      </x:c>
      <x:c r="P46" s="17" t="str">
        <x:v>Past and present perfect for events; present for current status</x:v>
      </x:c>
      <x:c r="Q46" s="17" t="str">
        <x:v>2 paragraphs: open with one precise observation; develop through problem, response and a stated limitation; close with a concrete next action.</x:v>
      </x:c>
      <x:c r="R46" s="17" t="str">
        <x:v>Use a colon naturally. Do not add other marked features artificially.</x:v>
      </x:c>
      <x:c r="S46" s="17" t="str">
        <x:v>Do not restate the title; do not open with “Health &amp; wellbeing is important”, “This article/message/proposal sets out…”, “The following…”, or any legacy family formula.</x:v>
      </x:c>
      <x:c r="T46" s="17" t="str">
        <x:v>No First/Secondly/Finally ladder; avoid stock “moreover/furthermore/another important” transitions; movement must follow problem, response and a stated limitation.</x:v>
      </x:c>
      <x:c r="U46" s="17" t="str">
        <x:v>Do not use “In conclusion”, “Taken together”, a generic call to action, or a thesis recap; end through a concrete next action.</x:v>
      </x:c>
      <x:c r="V46" s="17" t="str">
        <x:v>Keep lexical and structural distance from paired brief ECV2-NEW-006 (“New figures show fewer children receiving routine dental checks”) and from the same Topic in other genres. Avoid benefits-list prose, institutional boilerplate and substituted-noun variants.</x:v>
      </x:c>
      <x:c r="W46" s="18" t="str">
        <x:v>No</x:v>
      </x:c>
      <x:c r="X46" s="18" t="str">
        <x:v>No</x:v>
      </x:c>
      <x:c r="Y46" s="18" t="str">
        <x:v>No</x:v>
      </x:c>
      <x:c r="Z46" s="18" t="str">
        <x:v>No</x:v>
      </x:c>
      <x:c r="AA46" s="18" t="str">
        <x:v>Yes</x:v>
      </x:c>
      <x:c r="AB46" s="18" t="str">
        <x:v>No</x:v>
      </x:c>
      <x:c r="AC46" s="18" t="str">
        <x:v>No</x:v>
      </x:c>
      <x:c r="AD46" s="18" t="str">
        <x:v>No</x:v>
      </x:c>
      <x:c r="AE46" s="18" t="str">
        <x:v>No</x:v>
      </x:c>
    </x:row>
    <x:row r="47" ht="64" customHeight="1">
      <x:c r="A47" s="16" t="str">
        <x:v>ECV2-NEW-006</x:v>
      </x:c>
      <x:c r="B47" s="16" t="str">
        <x:v>NEW</x:v>
      </x:c>
      <x:c r="C47" s="16" t="str">
        <x:v>NEW</x:v>
      </x:c>
      <x:c r="D47" s="16" t="str">
        <x:v>NEW</x:v>
      </x:c>
      <x:c r="E47" s="16" t="str">
        <x:v>News</x:v>
      </x:c>
      <x:c r="F47" s="16" t="str">
        <x:v>Health &amp; wellbeing</x:v>
      </x:c>
      <x:c r="G47" s="16" t="str">
        <x:v>Data-led report</x:v>
      </x:c>
      <x:c r="H47" s="17" t="str">
        <x:v>New figures show fewer children receiving routine dental checks</x:v>
      </x:c>
      <x:c r="I47" s="17" t="str">
        <x:v>Report what verified figures reveal in “New figures show fewer children receiving routine dental checks”.</x:v>
      </x:c>
      <x:c r="J47" s="17" t="str">
        <x:v>People directly affected by the reported development</x:v>
      </x:c>
      <x:c r="K47" s="17" t="str">
        <x:v>Standard</x:v>
      </x:c>
      <x:c r="L47" s="17" t="str">
        <x:v>200–349 words</x:v>
      </x:c>
      <x:c r="M47" s="17" t="str">
        <x:v>Challenging</x:v>
      </x:c>
      <x:c r="N47" s="17" t="str">
        <x:v>Evidence-led news register</x:v>
      </x:c>
      <x:c r="O47" s="17" t="str">
        <x:v>Third person; no editorial narrator</x:v>
      </x:c>
      <x:c r="P47" s="17" t="str">
        <x:v>Present for live arrangements and past for verified developments</x:v>
      </x:c>
      <x:c r="Q47" s="17" t="str">
        <x:v>3 paragraphs: open with a small case before its wider meaning; develop through problem, response and a stated limitation; close with a precise takeaway without recapping every paragraph.</x:v>
      </x:c>
      <x:c r="R47" s="17" t="str">
        <x:v>Use at least one contextual Arabic numeral; Include a percentage, currency amount or measurement; Use one necessary parenthetical phrase. Do not add other marked features artificially.</x:v>
      </x:c>
      <x:c r="S47" s="17" t="str">
        <x:v>Do not restate the title; do not open with “Health &amp; wellbeing is important”, “This article/message/proposal sets out…”, “The following…”, or any legacy family formula.</x:v>
      </x:c>
      <x:c r="T47" s="17" t="str">
        <x:v>No First/Secondly/Finally ladder; avoid stock “moreover/furthermore/another important” transitions; movement must follow problem, response and a stated limitation.</x:v>
      </x:c>
      <x:c r="U47" s="17" t="str">
        <x:v>Do not use “In conclusion”, “Taken together”, a generic call to action, or a thesis recap; end through a precise takeaway without recapping every paragraph.</x:v>
      </x:c>
      <x:c r="V47" s="17" t="str">
        <x:v>Keep lexical and structural distance from paired brief ECV2-NEW-005 (“Clinics extend evening vaccination appointments before winter”) and from the same Topic in other genres. Avoid benefits-list prose, institutional boilerplate and substituted-noun variants.</x:v>
      </x:c>
      <x:c r="W47" s="18" t="str">
        <x:v>Yes</x:v>
      </x:c>
      <x:c r="X47" s="18" t="str">
        <x:v>No</x:v>
      </x:c>
      <x:c r="Y47" s="18" t="str">
        <x:v>Yes</x:v>
      </x:c>
      <x:c r="Z47" s="18" t="str">
        <x:v>No</x:v>
      </x:c>
      <x:c r="AA47" s="18" t="str">
        <x:v>No</x:v>
      </x:c>
      <x:c r="AB47" s="18" t="str">
        <x:v>No</x:v>
      </x:c>
      <x:c r="AC47" s="18" t="str">
        <x:v>Yes</x:v>
      </x:c>
      <x:c r="AD47" s="18" t="str">
        <x:v>No</x:v>
      </x:c>
      <x:c r="AE47" s="18" t="str">
        <x:v>No</x:v>
      </x:c>
    </x:row>
    <x:row r="48" ht="64" customHeight="1">
      <x:c r="A48" s="16" t="str">
        <x:v>ECV2-NEW-007</x:v>
      </x:c>
      <x:c r="B48" s="16" t="str">
        <x:v>283bca77-6486-4a0a-92a2-9209a9c48492</x:v>
      </x:c>
      <x:c r="C48" s="16" t="str">
        <x:v>Schools Pilot Broader Assessment Model</x:v>
      </x:c>
      <x:c r="D48" s="16" t="str">
        <x:v>Rewrite completely</x:v>
      </x:c>
      <x:c r="E48" s="16" t="str">
        <x:v>News</x:v>
      </x:c>
      <x:c r="F48" s="16" t="str">
        <x:v>Education &amp; learning</x:v>
      </x:c>
      <x:c r="G48" s="16" t="str">
        <x:v>Data-led report</x:v>
      </x:c>
      <x:c r="H48" s="17" t="str">
        <x:v>Schools begin a pilot using broader forms of assessment</x:v>
      </x:c>
      <x:c r="I48" s="17" t="str">
        <x:v>Report what verified figures reveal in “Schools begin a pilot using broader forms of assessment”.</x:v>
      </x:c>
      <x:c r="J48" s="17" t="str">
        <x:v>Local and general news readers</x:v>
      </x:c>
      <x:c r="K48" s="17" t="str">
        <x:v>Standard</x:v>
      </x:c>
      <x:c r="L48" s="17" t="str">
        <x:v>200–349 words</x:v>
      </x:c>
      <x:c r="M48" s="17" t="str">
        <x:v>Core</x:v>
      </x:c>
      <x:c r="N48" s="17" t="str">
        <x:v>Neutral newsroom British English</x:v>
      </x:c>
      <x:c r="O48" s="17" t="str">
        <x:v>Third person with attributed sources</x:v>
      </x:c>
      <x:c r="P48" s="17" t="str">
        <x:v>Past and present perfect for events; present for current status</x:v>
      </x:c>
      <x:c r="Q48" s="17" t="str">
        <x:v>4 paragraphs: open with the immediate decision facing the reader; develop through problem, response and a stated limitation; close with a return to the opening image with changed meaning.</x:v>
      </x:c>
      <x:c r="R48" s="17" t="str">
        <x:v>Use at least one contextual Arabic numeral; Include a date or time. Do not add other marked features artificially.</x:v>
      </x:c>
      <x:c r="S48" s="17" t="str">
        <x:v>Do not restate the title; do not open with “Education &amp; learning is important”, “This article/message/proposal sets out…”, “The following…”, or any legacy family formula.</x:v>
      </x:c>
      <x:c r="T48" s="17" t="str">
        <x:v>No First/Secondly/Finally ladder; avoid stock “moreover/furthermore/another important” transitions; movement must follow problem, response and a stated limitation.</x:v>
      </x:c>
      <x:c r="U48" s="17" t="str">
        <x:v>Do not use “In conclusion”, “Taken together”, a generic call to action, or a thesis recap; end through a return to the opening image with changed meaning.</x:v>
      </x:c>
      <x:c r="V48" s="17" t="str">
        <x:v>Keep lexical and structural distance from paired brief ECV2-NEW-008 (“Colleges add paid placements to technical courses”) and from the same Topic in other genres. Avoid benefits-list prose, institutional boilerplate and substituted-noun variants. Do not reuse wording, paragraph order or conclusions from “Schools Pilot Broader Assessment Model”; its former copy is reference-only.</x:v>
      </x:c>
      <x:c r="W48" s="18" t="str">
        <x:v>Yes</x:v>
      </x:c>
      <x:c r="X48" s="18" t="str">
        <x:v>Yes</x:v>
      </x:c>
      <x:c r="Y48" s="18" t="str">
        <x:v>No</x:v>
      </x:c>
      <x:c r="Z48" s="18" t="str">
        <x:v>No</x:v>
      </x:c>
      <x:c r="AA48" s="18" t="str">
        <x:v>No</x:v>
      </x:c>
      <x:c r="AB48" s="18" t="str">
        <x:v>No</x:v>
      </x:c>
      <x:c r="AC48" s="18" t="str">
        <x:v>No</x:v>
      </x:c>
      <x:c r="AD48" s="18" t="str">
        <x:v>No</x:v>
      </x:c>
      <x:c r="AE48" s="18" t="str">
        <x:v>No</x:v>
      </x:c>
    </x:row>
    <x:row r="49" ht="64" customHeight="1">
      <x:c r="A49" s="16" t="str">
        <x:v>ECV2-NEW-008</x:v>
      </x:c>
      <x:c r="B49" s="16" t="str">
        <x:v>NEW</x:v>
      </x:c>
      <x:c r="C49" s="16" t="str">
        <x:v>NEW</x:v>
      </x:c>
      <x:c r="D49" s="16" t="str">
        <x:v>NEW</x:v>
      </x:c>
      <x:c r="E49" s="16" t="str">
        <x:v>News</x:v>
      </x:c>
      <x:c r="F49" s="16" t="str">
        <x:v>Education &amp; learning</x:v>
      </x:c>
      <x:c r="G49" s="16" t="str">
        <x:v>Interview-led report</x:v>
      </x:c>
      <x:c r="H49" s="17" t="str">
        <x:v>Colleges add paid placements to technical courses</x:v>
      </x:c>
      <x:c r="I49" s="17" t="str">
        <x:v>Report contrasting first-hand accounts within “Colleges add paid placements to technical courses”.</x:v>
      </x:c>
      <x:c r="J49" s="17" t="str">
        <x:v>People directly affected by the reported development</x:v>
      </x:c>
      <x:c r="K49" s="17" t="str">
        <x:v>Standard</x:v>
      </x:c>
      <x:c r="L49" s="17" t="str">
        <x:v>200–349 words</x:v>
      </x:c>
      <x:c r="M49" s="17" t="str">
        <x:v>Core</x:v>
      </x:c>
      <x:c r="N49" s="17" t="str">
        <x:v>Concise public-interest reporting register</x:v>
      </x:c>
      <x:c r="O49" s="17" t="str">
        <x:v>Third person; no editorial narrator</x:v>
      </x:c>
      <x:c r="P49" s="17" t="str">
        <x:v>Present for live arrangements and past for verified developments</x:v>
      </x:c>
      <x:c r="Q49" s="17" t="str">
        <x:v>5 paragraphs: open with a consequential detail from a document; develop through problem, response and a stated limitation; close with a final stakeholder voice.</x:v>
      </x:c>
      <x:c r="R49" s="17" t="str">
        <x:v>Include a purposeful direct quotation using straight single quotation marks; Use a semicolon naturally; Use at least one genuine question. Do not add other marked features artificially.</x:v>
      </x:c>
      <x:c r="S49" s="17" t="str">
        <x:v>Do not restate the title; do not open with “Education &amp; learning is important”, “This article/message/proposal sets out…”, “The following…”, or any legacy family formula.</x:v>
      </x:c>
      <x:c r="T49" s="17" t="str">
        <x:v>No First/Secondly/Finally ladder; avoid stock “moreover/furthermore/another important” transitions; movement must follow problem, response and a stated limitation.</x:v>
      </x:c>
      <x:c r="U49" s="17" t="str">
        <x:v>Do not use “In conclusion”, “Taken together”, a generic call to action, or a thesis recap; end through a final stakeholder voice.</x:v>
      </x:c>
      <x:c r="V49" s="17" t="str">
        <x:v>Keep lexical and structural distance from paired brief ECV2-NEW-007 (“Schools begin a pilot using broader forms of assessment”) and from the same Topic in other genres. Avoid benefits-list prose, institutional boilerplate and substituted-noun variants.</x:v>
      </x:c>
      <x:c r="W49" s="18" t="str">
        <x:v>No</x:v>
      </x:c>
      <x:c r="X49" s="18" t="str">
        <x:v>No</x:v>
      </x:c>
      <x:c r="Y49" s="18" t="str">
        <x:v>No</x:v>
      </x:c>
      <x:c r="Z49" s="18" t="str">
        <x:v>Yes</x:v>
      </x:c>
      <x:c r="AA49" s="18" t="str">
        <x:v>No</x:v>
      </x:c>
      <x:c r="AB49" s="18" t="str">
        <x:v>Yes</x:v>
      </x:c>
      <x:c r="AC49" s="18" t="str">
        <x:v>No</x:v>
      </x:c>
      <x:c r="AD49" s="18" t="str">
        <x:v>Yes</x:v>
      </x:c>
      <x:c r="AE49" s="18" t="str">
        <x:v>No</x:v>
      </x:c>
    </x:row>
    <x:row r="50" ht="64" customHeight="1">
      <x:c r="A50" s="16" t="str">
        <x:v>ECV2-NEW-009</x:v>
      </x:c>
      <x:c r="B50" s="16" t="str">
        <x:v>a66bcad1-3b90-4ca0-8c8b-861987e1e11f</x:v>
      </x:c>
      <x:c r="C50" s="16" t="str">
        <x:v>Districts Open Heat Shelters Under New Summer Plan</x:v>
      </x:c>
      <x:c r="D50" s="16" t="str">
        <x:v>Rewrite completely</x:v>
      </x:c>
      <x:c r="E50" s="16" t="str">
        <x:v>News</x:v>
      </x:c>
      <x:c r="F50" s="16" t="str">
        <x:v>Environment &amp; sustainability</x:v>
      </x:c>
      <x:c r="G50" s="16" t="str">
        <x:v>Public-service report</x:v>
      </x:c>
      <x:c r="H50" s="17" t="str">
        <x:v>Districts open heat shelters under a coordinated summer plan</x:v>
      </x:c>
      <x:c r="I50" s="17" t="str">
        <x:v>Tell readers what changed, who is affected and what to do next in “Districts open heat shelters under a coordinated summer plan”.</x:v>
      </x:c>
      <x:c r="J50" s="17" t="str">
        <x:v>Local and general news readers</x:v>
      </x:c>
      <x:c r="K50" s="17" t="str">
        <x:v>Standard</x:v>
      </x:c>
      <x:c r="L50" s="17" t="str">
        <x:v>200–349 words</x:v>
      </x:c>
      <x:c r="M50" s="17" t="str">
        <x:v>Core</x:v>
      </x:c>
      <x:c r="N50" s="17" t="str">
        <x:v>Evidence-led news register</x:v>
      </x:c>
      <x:c r="O50" s="17" t="str">
        <x:v>Third person with attributed sources</x:v>
      </x:c>
      <x:c r="P50" s="17" t="str">
        <x:v>Past and present perfect for events; present for current status</x:v>
      </x:c>
      <x:c r="Q50" s="17" t="str">
        <x:v>3 paragraphs: open with a time-stamped moment; develop through problem, response and a stated limitation; close with a forward time marker.</x:v>
      </x:c>
      <x:c r="R50" s="17" t="str">
        <x:v>Use at least one contextual Arabic numeral; Include a date or time; Include a percentage, currency amount or measurement; Use a colon naturally. Do not add other marked features artificially.</x:v>
      </x:c>
      <x:c r="S50" s="17" t="str">
        <x:v>Do not restate the title; do not open with “Environment &amp; sustainability is important”, “This article/message/proposal sets out…”, “The following…”, or any legacy family formula.</x:v>
      </x:c>
      <x:c r="T50" s="17" t="str">
        <x:v>No First/Secondly/Finally ladder; avoid stock “moreover/furthermore/another important” transitions; movement must follow problem, response and a stated limitation.</x:v>
      </x:c>
      <x:c r="U50" s="17" t="str">
        <x:v>Do not use “In conclusion”, “Taken together”, a generic call to action, or a thesis recap; end through a forward time marker.</x:v>
      </x:c>
      <x:c r="V50" s="17" t="str">
        <x:v>Keep lexical and structural distance from paired brief ECV2-NEW-010 (“A restored wetland reaches its first full breeding season”) and from the same Topic in other genres. Avoid benefits-list prose, institutional boilerplate and substituted-noun variants. Do not reuse wording, paragraph order or conclusions from “Districts Open Heat Shelters Under New Summer Plan”; its former copy is reference-only.</x:v>
      </x:c>
      <x:c r="W50" s="18" t="str">
        <x:v>Yes</x:v>
      </x:c>
      <x:c r="X50" s="18" t="str">
        <x:v>Yes</x:v>
      </x:c>
      <x:c r="Y50" s="18" t="str">
        <x:v>Yes</x:v>
      </x:c>
      <x:c r="Z50" s="18" t="str">
        <x:v>No</x:v>
      </x:c>
      <x:c r="AA50" s="18" t="str">
        <x:v>Yes</x:v>
      </x:c>
      <x:c r="AB50" s="18" t="str">
        <x:v>No</x:v>
      </x:c>
      <x:c r="AC50" s="18" t="str">
        <x:v>No</x:v>
      </x:c>
      <x:c r="AD50" s="18" t="str">
        <x:v>No</x:v>
      </x:c>
      <x:c r="AE50" s="18" t="str">
        <x:v>No</x:v>
      </x:c>
    </x:row>
    <x:row r="51" ht="64" customHeight="1">
      <x:c r="A51" s="16" t="str">
        <x:v>ECV2-NEW-010</x:v>
      </x:c>
      <x:c r="B51" s="16" t="str">
        <x:v>NEW</x:v>
      </x:c>
      <x:c r="C51" s="16" t="str">
        <x:v>NEW</x:v>
      </x:c>
      <x:c r="D51" s="16" t="str">
        <x:v>NEW</x:v>
      </x:c>
      <x:c r="E51" s="16" t="str">
        <x:v>News</x:v>
      </x:c>
      <x:c r="F51" s="16" t="str">
        <x:v>Environment &amp; sustainability</x:v>
      </x:c>
      <x:c r="G51" s="16" t="str">
        <x:v>Follow-up report</x:v>
      </x:c>
      <x:c r="H51" s="17" t="str">
        <x:v>A restored wetland reaches its first full breeding season</x:v>
      </x:c>
      <x:c r="I51" s="17" t="str">
        <x:v>Explain verified developments since the initial event in “A restored wetland reaches its first full breeding season”.</x:v>
      </x:c>
      <x:c r="J51" s="17" t="str">
        <x:v>People directly affected by the reported development</x:v>
      </x:c>
      <x:c r="K51" s="17" t="str">
        <x:v>Standard</x:v>
      </x:c>
      <x:c r="L51" s="17" t="str">
        <x:v>200–349 words</x:v>
      </x:c>
      <x:c r="M51" s="17" t="str">
        <x:v>Challenging</x:v>
      </x:c>
      <x:c r="N51" s="17" t="str">
        <x:v>Neutral newsroom British English</x:v>
      </x:c>
      <x:c r="O51" s="17" t="str">
        <x:v>Third person; no editorial narrator</x:v>
      </x:c>
      <x:c r="P51" s="17" t="str">
        <x:v>Present for live arrangements and past for verified developments</x:v>
      </x:c>
      <x:c r="Q51" s="17" t="str">
        <x:v>4 paragraphs: open with an exception that challenges the usual assumption; develop through problem, response and a stated limitation; close with the next decision that must be made.</x:v>
      </x:c>
      <x:c r="R51" s="17" t="str">
        <x:v>Include a purposeful direct quotation using straight single quotation marks. Do not add other marked features artificially.</x:v>
      </x:c>
      <x:c r="S51" s="17" t="str">
        <x:v>Do not restate the title; do not open with “Environment &amp; sustainability is important”, “This article/message/proposal sets out…”, “The following…”, or any legacy family formula.</x:v>
      </x:c>
      <x:c r="T51" s="17" t="str">
        <x:v>No First/Secondly/Finally ladder; avoid stock “moreover/furthermore/another important” transitions; movement must follow problem, response and a stated limitation.</x:v>
      </x:c>
      <x:c r="U51" s="17" t="str">
        <x:v>Do not use “In conclusion”, “Taken together”, a generic call to action, or a thesis recap; end through the next decision that must be made.</x:v>
      </x:c>
      <x:c r="V51" s="17" t="str">
        <x:v>Keep lexical and structural distance from paired brief ECV2-NEW-009 (“Districts open heat shelters under a coordinated summer plan”) and from the same Topic in other genres. Avoid benefits-list prose, institutional boilerplate and substituted-noun variants.</x:v>
      </x:c>
      <x:c r="W51" s="18" t="str">
        <x:v>No</x:v>
      </x:c>
      <x:c r="X51" s="18" t="str">
        <x:v>No</x:v>
      </x:c>
      <x:c r="Y51" s="18" t="str">
        <x:v>No</x:v>
      </x:c>
      <x:c r="Z51" s="18" t="str">
        <x:v>Yes</x:v>
      </x:c>
      <x:c r="AA51" s="18" t="str">
        <x:v>No</x:v>
      </x:c>
      <x:c r="AB51" s="18" t="str">
        <x:v>No</x:v>
      </x:c>
      <x:c r="AC51" s="18" t="str">
        <x:v>No</x:v>
      </x:c>
      <x:c r="AD51" s="18" t="str">
        <x:v>No</x:v>
      </x:c>
      <x:c r="AE51" s="18" t="str">
        <x:v>No</x:v>
      </x:c>
    </x:row>
    <x:row r="52" ht="64" customHeight="1">
      <x:c r="A52" s="16" t="str">
        <x:v>ECV2-NEW-011</x:v>
      </x:c>
      <x:c r="B52" s="16" t="str">
        <x:v>3dd4d7ef-252e-4502-a683-e3c26cd6959d</x:v>
      </x:c>
      <x:c r="C52" s="16" t="str">
        <x:v>Rail Operator Publishes Reliability Recovery Plan</x:v>
      </x:c>
      <x:c r="D52" s="16" t="str">
        <x:v>Rewrite completely</x:v>
      </x:c>
      <x:c r="E52" s="16" t="str">
        <x:v>News</x:v>
      </x:c>
      <x:c r="F52" s="16" t="str">
        <x:v>Transport, housing &amp; places</x:v>
      </x:c>
      <x:c r="G52" s="16" t="str">
        <x:v>Data-led report</x:v>
      </x:c>
      <x:c r="H52" s="17" t="str">
        <x:v>A rail operator publishes milestones for restoring reliability</x:v>
      </x:c>
      <x:c r="I52" s="17" t="str">
        <x:v>Report what verified figures reveal in “A rail operator publishes milestones for restoring reliability”.</x:v>
      </x:c>
      <x:c r="J52" s="17" t="str">
        <x:v>Local and general news readers</x:v>
      </x:c>
      <x:c r="K52" s="17" t="str">
        <x:v>Standard</x:v>
      </x:c>
      <x:c r="L52" s="17" t="str">
        <x:v>200–349 words</x:v>
      </x:c>
      <x:c r="M52" s="17" t="str">
        <x:v>Core</x:v>
      </x:c>
      <x:c r="N52" s="17" t="str">
        <x:v>Concise public-interest reporting register</x:v>
      </x:c>
      <x:c r="O52" s="17" t="str">
        <x:v>Third person with attributed sources</x:v>
      </x:c>
      <x:c r="P52" s="17" t="str">
        <x:v>Past and present perfect for events; present for current status</x:v>
      </x:c>
      <x:c r="Q52" s="17" t="str">
        <x:v>5 paragraphs: open with the practical consequence before its cause; develop through problem, response and a stated limitation; close with a final stakeholder voice.</x:v>
      </x:c>
      <x:c r="R52" s="17" t="str">
        <x:v>Use at least one contextual Arabic numeral; Include a date or time. Do not add other marked features artificially.</x:v>
      </x:c>
      <x:c r="S52" s="17" t="str">
        <x:v>Do not restate the title; do not open with “Transport, housing &amp; places is important”, “This article/message/proposal sets out…”, “The following…”, or any legacy family formula.</x:v>
      </x:c>
      <x:c r="T52" s="17" t="str">
        <x:v>No First/Secondly/Finally ladder; avoid stock “moreover/furthermore/another important” transitions; movement must follow problem, response and a stated limitation.</x:v>
      </x:c>
      <x:c r="U52" s="17" t="str">
        <x:v>Do not use “In conclusion”, “Taken together”, a generic call to action, or a thesis recap; end through a final stakeholder voice.</x:v>
      </x:c>
      <x:c r="V52" s="17" t="str">
        <x:v>Keep lexical and structural distance from paired brief ECV2-NEW-012 (“A trial adds an earlier ferry after commuter demand rises”) and from the same Topic in other genres. Avoid benefits-list prose, institutional boilerplate and substituted-noun variants. Do not reuse wording, paragraph order or conclusions from “Rail Operator Publishes Reliability Recovery Plan”; its former copy is reference-only.</x:v>
      </x:c>
      <x:c r="W52" s="18" t="str">
        <x:v>Yes</x:v>
      </x:c>
      <x:c r="X52" s="18" t="str">
        <x:v>Yes</x:v>
      </x:c>
      <x:c r="Y52" s="18" t="str">
        <x:v>No</x:v>
      </x:c>
      <x:c r="Z52" s="18" t="str">
        <x:v>No</x:v>
      </x:c>
      <x:c r="AA52" s="18" t="str">
        <x:v>No</x:v>
      </x:c>
      <x:c r="AB52" s="18" t="str">
        <x:v>No</x:v>
      </x:c>
      <x:c r="AC52" s="18" t="str">
        <x:v>No</x:v>
      </x:c>
      <x:c r="AD52" s="18" t="str">
        <x:v>No</x:v>
      </x:c>
      <x:c r="AE52" s="18" t="str">
        <x:v>No</x:v>
      </x:c>
    </x:row>
    <x:row r="53" ht="64" customHeight="1">
      <x:c r="A53" s="16" t="str">
        <x:v>ECV2-NEW-012</x:v>
      </x:c>
      <x:c r="B53" s="16" t="str">
        <x:v>2ccf24c0-1a68-45a8-ab81-eec10238062d</x:v>
      </x:c>
      <x:c r="C53" s="16" t="str">
        <x:v>The Morning Ferry Service</x:v>
      </x:c>
      <x:c r="D53" s="16" t="str">
        <x:v>Reclassify</x:v>
      </x:c>
      <x:c r="E53" s="16" t="str">
        <x:v>News</x:v>
      </x:c>
      <x:c r="F53" s="16" t="str">
        <x:v>Transport, housing &amp; places</x:v>
      </x:c>
      <x:c r="G53" s="16" t="str">
        <x:v>Straight report</x:v>
      </x:c>
      <x:c r="H53" s="17" t="str">
        <x:v>A trial adds an earlier ferry after commuter demand rises</x:v>
      </x:c>
      <x:c r="I53" s="17" t="str">
        <x:v>Report the essential verified facts of “A trial adds an earlier ferry after commuter demand rises”.</x:v>
      </x:c>
      <x:c r="J53" s="17" t="str">
        <x:v>People directly affected by the reported development</x:v>
      </x:c>
      <x:c r="K53" s="17" t="str">
        <x:v>Compact</x:v>
      </x:c>
      <x:c r="L53" s="17" t="str">
        <x:v>140–199 words</x:v>
      </x:c>
      <x:c r="M53" s="17" t="str">
        <x:v>Accessible</x:v>
      </x:c>
      <x:c r="N53" s="17" t="str">
        <x:v>Evidence-led news register</x:v>
      </x:c>
      <x:c r="O53" s="17" t="str">
        <x:v>Third person; no editorial narrator</x:v>
      </x:c>
      <x:c r="P53" s="17" t="str">
        <x:v>Present for live arrangements and past for verified developments</x:v>
      </x:c>
      <x:c r="Q53" s="17" t="str">
        <x:v>3 paragraphs: open with a stakeholder voice; develop through problem, response and a stated limitation; close with a forward time marker.</x:v>
      </x:c>
      <x:c r="R53" s="17" t="str">
        <x:v>Use a semicolon naturally; Use one necessary parenthetical phrase. Do not add other marked features artificially.</x:v>
      </x:c>
      <x:c r="S53" s="17" t="str">
        <x:v>Do not restate the title; do not open with “Transport, housing &amp; places is important”, “This article/message/proposal sets out…”, “The following…”, or any legacy family formula.</x:v>
      </x:c>
      <x:c r="T53" s="17" t="str">
        <x:v>No First/Secondly/Finally ladder; avoid stock “moreover/furthermore/another important” transitions; movement must follow problem, response and a stated limitation.</x:v>
      </x:c>
      <x:c r="U53" s="17" t="str">
        <x:v>Do not use “In conclusion”, “Taken together”, a generic call to action, or a thesis recap; end through a forward time marker.</x:v>
      </x:c>
      <x:c r="V53" s="17" t="str">
        <x:v>Keep lexical and structural distance from paired brief ECV2-NEW-011 (“A rail operator publishes milestones for restoring reliability”) and from the same Topic in other genres. Avoid benefits-list prose, institutional boilerplate and substituted-noun variants. Do not reuse wording, paragraph order or conclusions from “The Morning Ferry Service”; its former copy is reference-only.</x:v>
      </x:c>
      <x:c r="W53" s="18" t="str">
        <x:v>No</x:v>
      </x:c>
      <x:c r="X53" s="18" t="str">
        <x:v>No</x:v>
      </x:c>
      <x:c r="Y53" s="18" t="str">
        <x:v>No</x:v>
      </x:c>
      <x:c r="Z53" s="18" t="str">
        <x:v>No</x:v>
      </x:c>
      <x:c r="AA53" s="18" t="str">
        <x:v>No</x:v>
      </x:c>
      <x:c r="AB53" s="18" t="str">
        <x:v>Yes</x:v>
      </x:c>
      <x:c r="AC53" s="18" t="str">
        <x:v>Yes</x:v>
      </x:c>
      <x:c r="AD53" s="18" t="str">
        <x:v>No</x:v>
      </x:c>
      <x:c r="AE53" s="18" t="str">
        <x:v>No</x:v>
      </x:c>
    </x:row>
    <x:row r="54" ht="64" customHeight="1">
      <x:c r="A54" s="16" t="str">
        <x:v>ECV2-NEW-013</x:v>
      </x:c>
      <x:c r="B54" s="16" t="str">
        <x:v>NEW</x:v>
      </x:c>
      <x:c r="C54" s="16" t="str">
        <x:v>NEW</x:v>
      </x:c>
      <x:c r="D54" s="16" t="str">
        <x:v>NEW</x:v>
      </x:c>
      <x:c r="E54" s="16" t="str">
        <x:v>News</x:v>
      </x:c>
      <x:c r="F54" s="16" t="str">
        <x:v>Money &amp; the economy</x:v>
      </x:c>
      <x:c r="G54" s="16" t="str">
        <x:v>Data-led report</x:v>
      </x:c>
      <x:c r="H54" s="17" t="str">
        <x:v>Food-price growth slows at municipal markets</x:v>
      </x:c>
      <x:c r="I54" s="17" t="str">
        <x:v>Report what verified figures reveal in “Food-price growth slows at municipal markets”.</x:v>
      </x:c>
      <x:c r="J54" s="17" t="str">
        <x:v>Local and general news readers</x:v>
      </x:c>
      <x:c r="K54" s="17" t="str">
        <x:v>Extended</x:v>
      </x:c>
      <x:c r="L54" s="17" t="str">
        <x:v>350–500 words</x:v>
      </x:c>
      <x:c r="M54" s="17" t="str">
        <x:v>Challenging</x:v>
      </x:c>
      <x:c r="N54" s="17" t="str">
        <x:v>Neutral newsroom British English</x:v>
      </x:c>
      <x:c r="O54" s="17" t="str">
        <x:v>Third person with attributed sources</x:v>
      </x:c>
      <x:c r="P54" s="17" t="str">
        <x:v>Past and present perfect for events; present for current status</x:v>
      </x:c>
      <x:c r="Q54" s="17" t="str">
        <x:v>6 paragraphs: open with a process already in motion; develop through problem, response and a stated limitation; close with the next decision that must be made.</x:v>
      </x:c>
      <x:c r="R54" s="17" t="str">
        <x:v>Use at least one contextual Arabic numeral; Include a percentage, currency amount or measurement; Use a colon naturally. Do not add other marked features artificially.</x:v>
      </x:c>
      <x:c r="S54" s="17" t="str">
        <x:v>Do not restate the title; do not open with “Money &amp; the economy is important”, “This article/message/proposal sets out…”, “The following…”, or any legacy family formula.</x:v>
      </x:c>
      <x:c r="T54" s="17" t="str">
        <x:v>No First/Secondly/Finally ladder; avoid stock “moreover/furthermore/another important” transitions; movement must follow problem, response and a stated limitation.</x:v>
      </x:c>
      <x:c r="U54" s="17" t="str">
        <x:v>Do not use “In conclusion”, “Taken together”, a generic call to action, or a thesis recap; end through the next decision that must be made.</x:v>
      </x:c>
      <x:c r="V54" s="17" t="str">
        <x:v>Keep lexical and structural distance from paired brief ECV2-NEW-014 (“Small firms gain a new route to challenge persistent late payment”) and from the same Topic in other genres. Avoid benefits-list prose, institutional boilerplate and substituted-noun variants.</x:v>
      </x:c>
      <x:c r="W54" s="18" t="str">
        <x:v>Yes</x:v>
      </x:c>
      <x:c r="X54" s="18" t="str">
        <x:v>No</x:v>
      </x:c>
      <x:c r="Y54" s="18" t="str">
        <x:v>Yes</x:v>
      </x:c>
      <x:c r="Z54" s="18" t="str">
        <x:v>No</x:v>
      </x:c>
      <x:c r="AA54" s="18" t="str">
        <x:v>Yes</x:v>
      </x:c>
      <x:c r="AB54" s="18" t="str">
        <x:v>No</x:v>
      </x:c>
      <x:c r="AC54" s="18" t="str">
        <x:v>No</x:v>
      </x:c>
      <x:c r="AD54" s="18" t="str">
        <x:v>No</x:v>
      </x:c>
      <x:c r="AE54" s="18" t="str">
        <x:v>No</x:v>
      </x:c>
    </x:row>
    <x:row r="55" ht="64" customHeight="1">
      <x:c r="A55" s="16" t="str">
        <x:v>ECV2-NEW-014</x:v>
      </x:c>
      <x:c r="B55" s="16" t="str">
        <x:v>NEW</x:v>
      </x:c>
      <x:c r="C55" s="16" t="str">
        <x:v>NEW</x:v>
      </x:c>
      <x:c r="D55" s="16" t="str">
        <x:v>NEW</x:v>
      </x:c>
      <x:c r="E55" s="16" t="str">
        <x:v>News</x:v>
      </x:c>
      <x:c r="F55" s="16" t="str">
        <x:v>Money &amp; the economy</x:v>
      </x:c>
      <x:c r="G55" s="16" t="str">
        <x:v>Straight report</x:v>
      </x:c>
      <x:c r="H55" s="17" t="str">
        <x:v>Small firms gain a new route to challenge persistent late payment</x:v>
      </x:c>
      <x:c r="I55" s="17" t="str">
        <x:v>Report the essential verified facts of “Small firms gain a new route to challenge persistent late payment”.</x:v>
      </x:c>
      <x:c r="J55" s="17" t="str">
        <x:v>People directly affected by the reported development</x:v>
      </x:c>
      <x:c r="K55" s="17" t="str">
        <x:v>Compact</x:v>
      </x:c>
      <x:c r="L55" s="17" t="str">
        <x:v>140–199 words</x:v>
      </x:c>
      <x:c r="M55" s="17" t="str">
        <x:v>Challenging</x:v>
      </x:c>
      <x:c r="N55" s="17" t="str">
        <x:v>Concise public-interest reporting register</x:v>
      </x:c>
      <x:c r="O55" s="17" t="str">
        <x:v>Third person; no editorial narrator</x:v>
      </x:c>
      <x:c r="P55" s="17" t="str">
        <x:v>Present for live arrangements and past for verified developments</x:v>
      </x:c>
      <x:c r="Q55" s="17" t="str">
        <x:v>3 paragraphs: open with a corrected misconception; develop through problem, response and a stated limitation; close with one measurable consequence.</x:v>
      </x:c>
      <x:c r="R55" s="17" t="str">
        <x:v>Use at least one contextual Arabic numeral; Include a purposeful direct quotation using straight single quotation marks. Do not add other marked features artificially.</x:v>
      </x:c>
      <x:c r="S55" s="17" t="str">
        <x:v>Do not restate the title; do not open with “Money &amp; the economy is important”, “This article/message/proposal sets out…”, “The following…”, or any legacy family formula.</x:v>
      </x:c>
      <x:c r="T55" s="17" t="str">
        <x:v>No First/Secondly/Finally ladder; avoid stock “moreover/furthermore/another important” transitions; movement must follow problem, response and a stated limitation.</x:v>
      </x:c>
      <x:c r="U55" s="17" t="str">
        <x:v>Do not use “In conclusion”, “Taken together”, a generic call to action, or a thesis recap; end through one measurable consequence.</x:v>
      </x:c>
      <x:c r="V55" s="17" t="str">
        <x:v>Keep lexical and structural distance from paired brief ECV2-NEW-013 (“Food-price growth slows at municipal markets”) and from the same Topic in other genres. Avoid benefits-list prose, institutional boilerplate and substituted-noun variants.</x:v>
      </x:c>
      <x:c r="W55" s="18" t="str">
        <x:v>Yes</x:v>
      </x:c>
      <x:c r="X55" s="18" t="str">
        <x:v>No</x:v>
      </x:c>
      <x:c r="Y55" s="18" t="str">
        <x:v>No</x:v>
      </x:c>
      <x:c r="Z55" s="18" t="str">
        <x:v>Yes</x:v>
      </x:c>
      <x:c r="AA55" s="18" t="str">
        <x:v>No</x:v>
      </x:c>
      <x:c r="AB55" s="18" t="str">
        <x:v>No</x:v>
      </x:c>
      <x:c r="AC55" s="18" t="str">
        <x:v>No</x:v>
      </x:c>
      <x:c r="AD55" s="18" t="str">
        <x:v>No</x:v>
      </x:c>
      <x:c r="AE55" s="18" t="str">
        <x:v>No</x:v>
      </x:c>
    </x:row>
    <x:row r="56" ht="64" customHeight="1">
      <x:c r="A56" s="16" t="str">
        <x:v>ECV2-NEW-015</x:v>
      </x:c>
      <x:c r="B56" s="16" t="str">
        <x:v>NEW</x:v>
      </x:c>
      <x:c r="C56" s="16" t="str">
        <x:v>NEW</x:v>
      </x:c>
      <x:c r="D56" s="16" t="str">
        <x:v>NEW</x:v>
      </x:c>
      <x:c r="E56" s="16" t="str">
        <x:v>News</x:v>
      </x:c>
      <x:c r="F56" s="16" t="str">
        <x:v>Public services &amp; civic life</x:v>
      </x:c>
      <x:c r="G56" s="16" t="str">
        <x:v>Public-service report</x:v>
      </x:c>
      <x:c r="H56" s="17" t="str">
        <x:v>A civic centre reopens after accessibility upgrades</x:v>
      </x:c>
      <x:c r="I56" s="17" t="str">
        <x:v>Tell readers what changed, who is affected and what to do next in “A civic centre reopens after accessibility upgrades”.</x:v>
      </x:c>
      <x:c r="J56" s="17" t="str">
        <x:v>Local and general news readers</x:v>
      </x:c>
      <x:c r="K56" s="17" t="str">
        <x:v>Standard</x:v>
      </x:c>
      <x:c r="L56" s="17" t="str">
        <x:v>200–349 words</x:v>
      </x:c>
      <x:c r="M56" s="17" t="str">
        <x:v>Accessible</x:v>
      </x:c>
      <x:c r="N56" s="17" t="str">
        <x:v>Evidence-led news register</x:v>
      </x:c>
      <x:c r="O56" s="17" t="str">
        <x:v>Third person with attributed sources</x:v>
      </x:c>
      <x:c r="P56" s="17" t="str">
        <x:v>Past and present perfect for events; present for current status</x:v>
      </x:c>
      <x:c r="Q56" s="17" t="str">
        <x:v>3 paragraphs: open with one meaningful data point; develop through problem, response and a stated limitation; close with the exception that still needs attention.</x:v>
      </x:c>
      <x:c r="R56" s="17" t="str">
        <x:v>Use natural full stops, commas and apostrophes; do not add marked punctuation or numbers artificially.</x:v>
      </x:c>
      <x:c r="S56" s="17" t="str">
        <x:v>Do not restate the title; do not open with “Public services &amp; civic life is important”, “This article/message/proposal sets out…”, “The following…”, or any legacy family formula.</x:v>
      </x:c>
      <x:c r="T56" s="17" t="str">
        <x:v>No First/Secondly/Finally ladder; avoid stock “moreover/furthermore/another important” transitions; movement must follow problem, response and a stated limitation.</x:v>
      </x:c>
      <x:c r="U56" s="17" t="str">
        <x:v>Do not use “In conclusion”, “Taken together”, a generic call to action, or a thesis recap; end through the exception that still needs attention.</x:v>
      </x:c>
      <x:c r="V56" s="17" t="str">
        <x:v>Keep lexical and structural distance from paired brief ECV2-NEW-016 (“Election officials add weekend voter-registration sessions”) and from the same Topic in other genres. Avoid benefits-list prose, institutional boilerplate and substituted-noun variants.</x:v>
      </x:c>
      <x:c r="W56" s="18" t="str">
        <x:v>No</x:v>
      </x:c>
      <x:c r="X56" s="18" t="str">
        <x:v>No</x:v>
      </x:c>
      <x:c r="Y56" s="18" t="str">
        <x:v>No</x:v>
      </x:c>
      <x:c r="Z56" s="18" t="str">
        <x:v>No</x:v>
      </x:c>
      <x:c r="AA56" s="18" t="str">
        <x:v>No</x:v>
      </x:c>
      <x:c r="AB56" s="18" t="str">
        <x:v>No</x:v>
      </x:c>
      <x:c r="AC56" s="18" t="str">
        <x:v>No</x:v>
      </x:c>
      <x:c r="AD56" s="18" t="str">
        <x:v>No</x:v>
      </x:c>
      <x:c r="AE56" s="18" t="str">
        <x:v>No</x:v>
      </x:c>
    </x:row>
    <x:row r="57" ht="64" customHeight="1">
      <x:c r="A57" s="16" t="str">
        <x:v>ECV2-NEW-016</x:v>
      </x:c>
      <x:c r="B57" s="16" t="str">
        <x:v>NEW</x:v>
      </x:c>
      <x:c r="C57" s="16" t="str">
        <x:v>NEW</x:v>
      </x:c>
      <x:c r="D57" s="16" t="str">
        <x:v>NEW</x:v>
      </x:c>
      <x:c r="E57" s="16" t="str">
        <x:v>News</x:v>
      </x:c>
      <x:c r="F57" s="16" t="str">
        <x:v>Public services &amp; civic life</x:v>
      </x:c>
      <x:c r="G57" s="16" t="str">
        <x:v>Public-service report</x:v>
      </x:c>
      <x:c r="H57" s="17" t="str">
        <x:v>Election officials add weekend voter-registration sessions</x:v>
      </x:c>
      <x:c r="I57" s="17" t="str">
        <x:v>Tell readers what changed, who is affected and what to do next in “Election officials add weekend voter-registration sessions”.</x:v>
      </x:c>
      <x:c r="J57" s="17" t="str">
        <x:v>People directly affected by the reported development</x:v>
      </x:c>
      <x:c r="K57" s="17" t="str">
        <x:v>Standard</x:v>
      </x:c>
      <x:c r="L57" s="17" t="str">
        <x:v>200–349 words</x:v>
      </x:c>
      <x:c r="M57" s="17" t="str">
        <x:v>Accessible</x:v>
      </x:c>
      <x:c r="N57" s="17" t="str">
        <x:v>Neutral newsroom British English</x:v>
      </x:c>
      <x:c r="O57" s="17" t="str">
        <x:v>Third person; no editorial narrator</x:v>
      </x:c>
      <x:c r="P57" s="17" t="str">
        <x:v>Present for live arrangements and past for verified developments</x:v>
      </x:c>
      <x:c r="Q57" s="17" t="str">
        <x:v>4 paragraphs: open with a physical place or object; develop through problem, response and a stated limitation; close with an unresolved but specific implication.</x:v>
      </x:c>
      <x:c r="R57" s="17" t="str">
        <x:v>Use at least one contextual Arabic numeral; Include a date or time; Use a semicolon naturally. Do not add other marked features artificially.</x:v>
      </x:c>
      <x:c r="S57" s="17" t="str">
        <x:v>Do not restate the title; do not open with “Public services &amp; civic life is important”, “This article/message/proposal sets out…”, “The following…”, or any legacy family formula.</x:v>
      </x:c>
      <x:c r="T57" s="17" t="str">
        <x:v>No First/Secondly/Finally ladder; avoid stock “moreover/furthermore/another important” transitions; movement must follow problem, response and a stated limitation.</x:v>
      </x:c>
      <x:c r="U57" s="17" t="str">
        <x:v>Do not use “In conclusion”, “Taken together”, a generic call to action, or a thesis recap; end through an unresolved but specific implication.</x:v>
      </x:c>
      <x:c r="V57" s="17" t="str">
        <x:v>Keep lexical and structural distance from paired brief ECV2-NEW-015 (“A civic centre reopens after accessibility upgrades”) and from the same Topic in other genres. Avoid benefits-list prose, institutional boilerplate and substituted-noun variants.</x:v>
      </x:c>
      <x:c r="W57" s="18" t="str">
        <x:v>Yes</x:v>
      </x:c>
      <x:c r="X57" s="18" t="str">
        <x:v>Yes</x:v>
      </x:c>
      <x:c r="Y57" s="18" t="str">
        <x:v>No</x:v>
      </x:c>
      <x:c r="Z57" s="18" t="str">
        <x:v>No</x:v>
      </x:c>
      <x:c r="AA57" s="18" t="str">
        <x:v>No</x:v>
      </x:c>
      <x:c r="AB57" s="18" t="str">
        <x:v>Yes</x:v>
      </x:c>
      <x:c r="AC57" s="18" t="str">
        <x:v>No</x:v>
      </x:c>
      <x:c r="AD57" s="18" t="str">
        <x:v>No</x:v>
      </x:c>
      <x:c r="AE57" s="18" t="str">
        <x:v>No</x:v>
      </x:c>
    </x:row>
    <x:row r="58" ht="64" customHeight="1">
      <x:c r="A58" s="16" t="str">
        <x:v>ECV2-NEW-017</x:v>
      </x:c>
      <x:c r="B58" s="16" t="str">
        <x:v>NEW</x:v>
      </x:c>
      <x:c r="C58" s="16" t="str">
        <x:v>NEW</x:v>
      </x:c>
      <x:c r="D58" s="16" t="str">
        <x:v>NEW</x:v>
      </x:c>
      <x:c r="E58" s="16" t="str">
        <x:v>News</x:v>
      </x:c>
      <x:c r="F58" s="16" t="str">
        <x:v>Family, community &amp; relationships</x:v>
      </x:c>
      <x:c r="G58" s="16" t="str">
        <x:v>Interview-led report</x:v>
      </x:c>
      <x:c r="H58" s="17" t="str">
        <x:v>Community groups launch a respite network for unpaid carers</x:v>
      </x:c>
      <x:c r="I58" s="17" t="str">
        <x:v>Report contrasting first-hand accounts within “Community groups launch a respite network for unpaid carers”.</x:v>
      </x:c>
      <x:c r="J58" s="17" t="str">
        <x:v>Local and general news readers</x:v>
      </x:c>
      <x:c r="K58" s="17" t="str">
        <x:v>Extended</x:v>
      </x:c>
      <x:c r="L58" s="17" t="str">
        <x:v>350–500 words</x:v>
      </x:c>
      <x:c r="M58" s="17" t="str">
        <x:v>Core</x:v>
      </x:c>
      <x:c r="N58" s="17" t="str">
        <x:v>Concise public-interest reporting register</x:v>
      </x:c>
      <x:c r="O58" s="17" t="str">
        <x:v>Third person with attributed sources</x:v>
      </x:c>
      <x:c r="P58" s="17" t="str">
        <x:v>Past and present perfect for events; present for current status</x:v>
      </x:c>
      <x:c r="Q58" s="17" t="str">
        <x:v>7 paragraphs: open with a concrete action already under way; develop through mechanism, concrete example and caveat; close with a practical boundary rather than a promise.</x:v>
      </x:c>
      <x:c r="R58" s="17" t="str">
        <x:v>Include a purposeful direct quotation using straight single quotation marks; Use a colon naturally; Use at least one genuine question. Do not add other marked features artificially.</x:v>
      </x:c>
      <x:c r="S58" s="17" t="str">
        <x:v>Do not restate the title; do not open with “Family, community &amp; relationships is important”, “This article/message/proposal sets out…”, “The following…”, or any legacy family formula.</x:v>
      </x:c>
      <x:c r="T58" s="17" t="str">
        <x:v>No First/Secondly/Finally ladder; avoid stock “moreover/furthermore/another important” transitions; movement must follow mechanism, concrete example and caveat.</x:v>
      </x:c>
      <x:c r="U58" s="17" t="str">
        <x:v>Do not use “In conclusion”, “Taken together”, a generic call to action, or a thesis recap; end through a practical boundary rather than a promise.</x:v>
      </x:c>
      <x:c r="V58" s="17" t="str">
        <x:v>Keep lexical and structural distance from paired brief ECV2-NEW-018 (“A housing association opens a shared childcare room”) and from the same Topic in other genres. Avoid benefits-list prose, institutional boilerplate and substituted-noun variants.</x:v>
      </x:c>
      <x:c r="W58" s="18" t="str">
        <x:v>No</x:v>
      </x:c>
      <x:c r="X58" s="18" t="str">
        <x:v>No</x:v>
      </x:c>
      <x:c r="Y58" s="18" t="str">
        <x:v>No</x:v>
      </x:c>
      <x:c r="Z58" s="18" t="str">
        <x:v>Yes</x:v>
      </x:c>
      <x:c r="AA58" s="18" t="str">
        <x:v>Yes</x:v>
      </x:c>
      <x:c r="AB58" s="18" t="str">
        <x:v>No</x:v>
      </x:c>
      <x:c r="AC58" s="18" t="str">
        <x:v>No</x:v>
      </x:c>
      <x:c r="AD58" s="18" t="str">
        <x:v>Yes</x:v>
      </x:c>
      <x:c r="AE58" s="18" t="str">
        <x:v>No</x:v>
      </x:c>
    </x:row>
    <x:row r="59" ht="64" customHeight="1">
      <x:c r="A59" s="16" t="str">
        <x:v>ECV2-NEW-018</x:v>
      </x:c>
      <x:c r="B59" s="16" t="str">
        <x:v>NEW</x:v>
      </x:c>
      <x:c r="C59" s="16" t="str">
        <x:v>NEW</x:v>
      </x:c>
      <x:c r="D59" s="16" t="str">
        <x:v>NEW</x:v>
      </x:c>
      <x:c r="E59" s="16" t="str">
        <x:v>News</x:v>
      </x:c>
      <x:c r="F59" s="16" t="str">
        <x:v>Family, community &amp; relationships</x:v>
      </x:c>
      <x:c r="G59" s="16" t="str">
        <x:v>Follow-up report</x:v>
      </x:c>
      <x:c r="H59" s="17" t="str">
        <x:v>A housing association opens a shared childcare room</x:v>
      </x:c>
      <x:c r="I59" s="17" t="str">
        <x:v>Explain verified developments since the initial event in “A housing association opens a shared childcare room”.</x:v>
      </x:c>
      <x:c r="J59" s="17" t="str">
        <x:v>People directly affected by the reported development</x:v>
      </x:c>
      <x:c r="K59" s="17" t="str">
        <x:v>Extended</x:v>
      </x:c>
      <x:c r="L59" s="17" t="str">
        <x:v>350–500 words</x:v>
      </x:c>
      <x:c r="M59" s="17" t="str">
        <x:v>Core</x:v>
      </x:c>
      <x:c r="N59" s="17" t="str">
        <x:v>Evidence-led news register</x:v>
      </x:c>
      <x:c r="O59" s="17" t="str">
        <x:v>Third person; no editorial narrator</x:v>
      </x:c>
      <x:c r="P59" s="17" t="str">
        <x:v>Present for live arrangements and past for verified developments</x:v>
      </x:c>
      <x:c r="Q59" s="17" t="str">
        <x:v>5 paragraphs: open with a brief contrast between expectation and result; develop through mechanism, concrete example and caveat; close with a concrete next action.</x:v>
      </x:c>
      <x:c r="R59" s="17" t="str">
        <x:v>Include a purposeful direct quotation using straight single quotation marks; Use one necessary parenthetical phrase. Do not add other marked features artificially.</x:v>
      </x:c>
      <x:c r="S59" s="17" t="str">
        <x:v>Do not restate the title; do not open with “Family, community &amp; relationships is important”, “This article/message/proposal sets out…”, “The following…”, or any legacy family formula.</x:v>
      </x:c>
      <x:c r="T59" s="17" t="str">
        <x:v>No First/Secondly/Finally ladder; avoid stock “moreover/furthermore/another important” transitions; movement must follow mechanism, concrete example and caveat.</x:v>
      </x:c>
      <x:c r="U59" s="17" t="str">
        <x:v>Do not use “In conclusion”, “Taken together”, a generic call to action, or a thesis recap; end through a concrete next action.</x:v>
      </x:c>
      <x:c r="V59" s="17" t="str">
        <x:v>Keep lexical and structural distance from paired brief ECV2-NEW-017 (“Community groups launch a respite network for unpaid carers”) and from the same Topic in other genres. Avoid benefits-list prose, institutional boilerplate and substituted-noun variants.</x:v>
      </x:c>
      <x:c r="W59" s="18" t="str">
        <x:v>No</x:v>
      </x:c>
      <x:c r="X59" s="18" t="str">
        <x:v>No</x:v>
      </x:c>
      <x:c r="Y59" s="18" t="str">
        <x:v>No</x:v>
      </x:c>
      <x:c r="Z59" s="18" t="str">
        <x:v>Yes</x:v>
      </x:c>
      <x:c r="AA59" s="18" t="str">
        <x:v>No</x:v>
      </x:c>
      <x:c r="AB59" s="18" t="str">
        <x:v>No</x:v>
      </x:c>
      <x:c r="AC59" s="18" t="str">
        <x:v>Yes</x:v>
      </x:c>
      <x:c r="AD59" s="18" t="str">
        <x:v>No</x:v>
      </x:c>
      <x:c r="AE59" s="18" t="str">
        <x:v>No</x:v>
      </x:c>
    </x:row>
    <x:row r="60" ht="64" customHeight="1">
      <x:c r="A60" s="16" t="str">
        <x:v>ECV2-NEW-019</x:v>
      </x:c>
      <x:c r="B60" s="16" t="str">
        <x:v>a8e0bd50-a8ae-4150-80b1-ec8dd20ac14c</x:v>
      </x:c>
      <x:c r="C60" s="16" t="str">
        <x:v>A Library Open After Dark</x:v>
      </x:c>
      <x:c r="D60" s="16" t="str">
        <x:v>Reclassify</x:v>
      </x:c>
      <x:c r="E60" s="16" t="str">
        <x:v>News</x:v>
      </x:c>
      <x:c r="F60" s="16" t="str">
        <x:v>Culture, leisure &amp; everyday life</x:v>
      </x:c>
      <x:c r="G60" s="16" t="str">
        <x:v>Straight report</x:v>
      </x:c>
      <x:c r="H60" s="17" t="str">
        <x:v>A district library starts a six-month late-opening pilot</x:v>
      </x:c>
      <x:c r="I60" s="17" t="str">
        <x:v>Report the essential verified facts of “A district library starts a six-month late-opening pilot”.</x:v>
      </x:c>
      <x:c r="J60" s="17" t="str">
        <x:v>Local and general news readers</x:v>
      </x:c>
      <x:c r="K60" s="17" t="str">
        <x:v>Compact</x:v>
      </x:c>
      <x:c r="L60" s="17" t="str">
        <x:v>140–199 words</x:v>
      </x:c>
      <x:c r="M60" s="17" t="str">
        <x:v>Accessible</x:v>
      </x:c>
      <x:c r="N60" s="17" t="str">
        <x:v>Neutral newsroom British English</x:v>
      </x:c>
      <x:c r="O60" s="17" t="str">
        <x:v>Third person with attributed sources</x:v>
      </x:c>
      <x:c r="P60" s="17" t="str">
        <x:v>Past and present perfect for events; present for current status</x:v>
      </x:c>
      <x:c r="Q60" s="17" t="str">
        <x:v>2 paragraphs: open with one precise observation; develop through mechanism, concrete example and caveat; close with a precise takeaway without recapping every paragraph.</x:v>
      </x:c>
      <x:c r="R60" s="17" t="str">
        <x:v>Use natural full stops, commas and apostrophes; do not add marked punctuation or numbers artificially.</x:v>
      </x:c>
      <x:c r="S60" s="17" t="str">
        <x:v>Do not restate the title; do not open with “Culture, leisure &amp; everyday life is important”, “This article/message/proposal sets out…”, “The following…”, or any legacy family formula.</x:v>
      </x:c>
      <x:c r="T60" s="17" t="str">
        <x:v>No First/Secondly/Finally ladder; avoid stock “moreover/furthermore/another important” transitions; movement must follow mechanism, concrete example and caveat.</x:v>
      </x:c>
      <x:c r="U60" s="17" t="str">
        <x:v>Do not use “In conclusion”, “Taken together”, a generic call to action, or a thesis recap; end through a precise takeaway without recapping every paragraph.</x:v>
      </x:c>
      <x:c r="V60" s="17" t="str">
        <x:v>Keep lexical and structural distance from paired brief ECV2-NEW-020 (“Independent cinemas coordinate quieter weekly screenings”) and from the same Topic in other genres. Avoid benefits-list prose, institutional boilerplate and substituted-noun variants. Do not reuse wording, paragraph order or conclusions from “A Library Open After Dark”; its former copy is reference-only.</x:v>
      </x:c>
      <x:c r="W60" s="18" t="str">
        <x:v>No</x:v>
      </x:c>
      <x:c r="X60" s="18" t="str">
        <x:v>No</x:v>
      </x:c>
      <x:c r="Y60" s="18" t="str">
        <x:v>No</x:v>
      </x:c>
      <x:c r="Z60" s="18" t="str">
        <x:v>No</x:v>
      </x:c>
      <x:c r="AA60" s="18" t="str">
        <x:v>No</x:v>
      </x:c>
      <x:c r="AB60" s="18" t="str">
        <x:v>No</x:v>
      </x:c>
      <x:c r="AC60" s="18" t="str">
        <x:v>No</x:v>
      </x:c>
      <x:c r="AD60" s="18" t="str">
        <x:v>No</x:v>
      </x:c>
      <x:c r="AE60" s="18" t="str">
        <x:v>No</x:v>
      </x:c>
    </x:row>
    <x:row r="61" ht="64" customHeight="1">
      <x:c r="A61" s="16" t="str">
        <x:v>ECV2-NEW-020</x:v>
      </x:c>
      <x:c r="B61" s="16" t="str">
        <x:v>NEW</x:v>
      </x:c>
      <x:c r="C61" s="16" t="str">
        <x:v>NEW</x:v>
      </x:c>
      <x:c r="D61" s="16" t="str">
        <x:v>NEW</x:v>
      </x:c>
      <x:c r="E61" s="16" t="str">
        <x:v>News</x:v>
      </x:c>
      <x:c r="F61" s="16" t="str">
        <x:v>Culture, leisure &amp; everyday life</x:v>
      </x:c>
      <x:c r="G61" s="16" t="str">
        <x:v>Interview-led report</x:v>
      </x:c>
      <x:c r="H61" s="17" t="str">
        <x:v>Independent cinemas coordinate quieter weekly screenings</x:v>
      </x:c>
      <x:c r="I61" s="17" t="str">
        <x:v>Report contrasting first-hand accounts within “Independent cinemas coordinate quieter weekly screenings”.</x:v>
      </x:c>
      <x:c r="J61" s="17" t="str">
        <x:v>People directly affected by the reported development</x:v>
      </x:c>
      <x:c r="K61" s="17" t="str">
        <x:v>Extended</x:v>
      </x:c>
      <x:c r="L61" s="17" t="str">
        <x:v>350–500 words</x:v>
      </x:c>
      <x:c r="M61" s="17" t="str">
        <x:v>Core</x:v>
      </x:c>
      <x:c r="N61" s="17" t="str">
        <x:v>Concise public-interest reporting register</x:v>
      </x:c>
      <x:c r="O61" s="17" t="str">
        <x:v>Third person; no editorial narrator</x:v>
      </x:c>
      <x:c r="P61" s="17" t="str">
        <x:v>Present for live arrangements and past for verified developments</x:v>
      </x:c>
      <x:c r="Q61" s="17" t="str">
        <x:v>7 paragraphs: open with a small case before its wider meaning; develop through mechanism, concrete example and caveat; close with a return to the opening image with changed meaning.</x:v>
      </x:c>
      <x:c r="R61" s="17" t="str">
        <x:v>Include a purposeful direct quotation using straight single quotation marks. Do not add other marked features artificially.</x:v>
      </x:c>
      <x:c r="S61" s="17" t="str">
        <x:v>Do not restate the title; do not open with “Culture, leisure &amp; everyday life is important”, “This article/message/proposal sets out…”, “The following…”, or any legacy family formula.</x:v>
      </x:c>
      <x:c r="T61" s="17" t="str">
        <x:v>No First/Secondly/Finally ladder; avoid stock “moreover/furthermore/another important” transitions; movement must follow mechanism, concrete example and caveat.</x:v>
      </x:c>
      <x:c r="U61" s="17" t="str">
        <x:v>Do not use “In conclusion”, “Taken together”, a generic call to action, or a thesis recap; end through a return to the opening image with changed meaning.</x:v>
      </x:c>
      <x:c r="V61" s="17" t="str">
        <x:v>Keep lexical and structural distance from paired brief ECV2-NEW-019 (“A district library starts a six-month late-opening pilot”) and from the same Topic in other genres. Avoid benefits-list prose, institutional boilerplate and substituted-noun variants.</x:v>
      </x:c>
      <x:c r="W61" s="18" t="str">
        <x:v>No</x:v>
      </x:c>
      <x:c r="X61" s="18" t="str">
        <x:v>No</x:v>
      </x:c>
      <x:c r="Y61" s="18" t="str">
        <x:v>No</x:v>
      </x:c>
      <x:c r="Z61" s="18" t="str">
        <x:v>Yes</x:v>
      </x:c>
      <x:c r="AA61" s="18" t="str">
        <x:v>No</x:v>
      </x:c>
      <x:c r="AB61" s="18" t="str">
        <x:v>No</x:v>
      </x:c>
      <x:c r="AC61" s="18" t="str">
        <x:v>No</x:v>
      </x:c>
      <x:c r="AD61" s="18" t="str">
        <x:v>No</x:v>
      </x:c>
      <x:c r="AE61" s="18" t="str">
        <x:v>No</x:v>
      </x:c>
    </x:row>
    <x:row r="62" ht="64" customHeight="1">
      <x:c r="A62" s="16" t="str">
        <x:v>ECV2-BUS-001</x:v>
      </x:c>
      <x:c r="B62" s="16" t="str">
        <x:v>4cae241a-8af6-40b5-afa4-11d7742e1443</x:v>
      </x:c>
      <x:c r="C62" s="16" t="str">
        <x:v>A Clear Project Handover</x:v>
      </x:c>
      <x:c r="D62" s="16" t="str">
        <x:v>Rewrite completely</x:v>
      </x:c>
      <x:c r="E62" s="16" t="str">
        <x:v>Business communication</x:v>
      </x:c>
      <x:c r="F62" s="16" t="str">
        <x:v>Work &amp; organisations</x:v>
      </x:c>
      <x:c r="G62" s="16" t="str">
        <x:v>Handover note</x:v>
      </x:c>
      <x:c r="H62" s="17" t="str">
        <x:v>Handing a complex project to a new delivery team</x:v>
      </x:c>
      <x:c r="I62" s="17" t="str">
        <x:v>Transfer ownership and next actions through “Handing a complex project to a new delivery team”.</x:v>
      </x:c>
      <x:c r="J62" s="17" t="str">
        <x:v>Colleagues and accountable decision-makers</x:v>
      </x:c>
      <x:c r="K62" s="17" t="str">
        <x:v>Standard</x:v>
      </x:c>
      <x:c r="L62" s="17" t="str">
        <x:v>200–349 words</x:v>
      </x:c>
      <x:c r="M62" s="17" t="str">
        <x:v>Core</x:v>
      </x:c>
      <x:c r="N62" s="17" t="str">
        <x:v>Direct, courteous professional British English</x:v>
      </x:c>
      <x:c r="O62" s="17" t="str">
        <x:v>First person singular or plural addressing the recipient</x:v>
      </x:c>
      <x:c r="P62" s="17" t="str">
        <x:v>Present status and future actions</x:v>
      </x:c>
      <x:c r="Q62" s="17" t="str">
        <x:v>3 paragraphs: open with the immediate decision facing the reader; develop through mechanism, concrete example and caveat; close with a concrete next action.</x:v>
      </x:c>
      <x:c r="R62" s="17" t="str">
        <x:v>Use at least one contextual Arabic numeral; Include a date or time; Use a colon naturally. Do not add other marked features artificially.</x:v>
      </x:c>
      <x:c r="S62" s="17" t="str">
        <x:v>Do not restate the title; do not open with “Work &amp; organisations is important”, “This article/message/proposal sets out…”, “The following…”, or any legacy family formula.</x:v>
      </x:c>
      <x:c r="T62" s="17" t="str">
        <x:v>No First/Secondly/Finally ladder; avoid stock “moreover/furthermore/another important” transitions; movement must follow mechanism, concrete example and caveat.</x:v>
      </x:c>
      <x:c r="U62" s="17" t="str">
        <x:v>Do not use “In conclusion”, “Taken together”, a generic call to action, or a thesis recap; end through a concrete next action.</x:v>
      </x:c>
      <x:c r="V62" s="17" t="str">
        <x:v>Keep lexical and structural distance from paired brief ECV2-BUS-002 (“Escalating an emerging service risk before it affects customers”) and from the same Topic in other genres. Avoid benefits-list prose, institutional boilerplate and substituted-noun variants. Do not reuse wording, paragraph order or conclusions from “A Clear Project Handover”; its former copy is reference-only.</x:v>
      </x:c>
      <x:c r="W62" s="18" t="str">
        <x:v>Yes</x:v>
      </x:c>
      <x:c r="X62" s="18" t="str">
        <x:v>Yes</x:v>
      </x:c>
      <x:c r="Y62" s="18" t="str">
        <x:v>No</x:v>
      </x:c>
      <x:c r="Z62" s="18" t="str">
        <x:v>No</x:v>
      </x:c>
      <x:c r="AA62" s="18" t="str">
        <x:v>Yes</x:v>
      </x:c>
      <x:c r="AB62" s="18" t="str">
        <x:v>No</x:v>
      </x:c>
      <x:c r="AC62" s="18" t="str">
        <x:v>No</x:v>
      </x:c>
      <x:c r="AD62" s="18" t="str">
        <x:v>No</x:v>
      </x:c>
      <x:c r="AE62" s="18" t="str">
        <x:v>No</x:v>
      </x:c>
    </x:row>
    <x:row r="63" ht="64" customHeight="1">
      <x:c r="A63" s="16" t="str">
        <x:v>ECV2-BUS-002</x:v>
      </x:c>
      <x:c r="B63" s="16" t="str">
        <x:v>175eca7f-23d1-4da5-b7d9-538c6f20e88e</x:v>
      </x:c>
      <x:c r="C63" s="16" t="str">
        <x:v>Escalating a Service Risk Early</x:v>
      </x:c>
      <x:c r="D63" s="16" t="str">
        <x:v>Rewrite completely</x:v>
      </x:c>
      <x:c r="E63" s="16" t="str">
        <x:v>Business communication</x:v>
      </x:c>
      <x:c r="F63" s="16" t="str">
        <x:v>Work &amp; organisations</x:v>
      </x:c>
      <x:c r="G63" s="16" t="str">
        <x:v>Risk escalation</x:v>
      </x:c>
      <x:c r="H63" s="17" t="str">
        <x:v>Escalating an emerging service risk before it affects customers</x:v>
      </x:c>
      <x:c r="I63" s="17" t="str">
        <x:v>Escalate impact, evidence and required action through “Escalating an emerging service risk before it affects customers”.</x:v>
      </x:c>
      <x:c r="J63" s="17" t="str">
        <x:v>Customers, partners or project stakeholders</x:v>
      </x:c>
      <x:c r="K63" s="17" t="str">
        <x:v>Compact</x:v>
      </x:c>
      <x:c r="L63" s="17" t="str">
        <x:v>140–199 words</x:v>
      </x:c>
      <x:c r="M63" s="17" t="str">
        <x:v>Core</x:v>
      </x:c>
      <x:c r="N63" s="17" t="str">
        <x:v>Concise action-oriented business register</x:v>
      </x:c>
      <x:c r="O63" s="17" t="str">
        <x:v>Second person for explicit actions</x:v>
      </x:c>
      <x:c r="P63" s="17" t="str">
        <x:v>Past evidence, present impact and future commitment</x:v>
      </x:c>
      <x:c r="Q63" s="17" t="str">
        <x:v>3 paragraphs: open with a consequential detail from a document; develop through mechanism, concrete example and caveat; close with a precise takeaway without recapping every paragraph.</x:v>
      </x:c>
      <x:c r="R63" s="17" t="str">
        <x:v>Use natural full stops, commas and apostrophes; do not add marked punctuation or numbers artificially.</x:v>
      </x:c>
      <x:c r="S63" s="17" t="str">
        <x:v>Do not restate the title; do not open with “Work &amp; organisations is important”, “This article/message/proposal sets out…”, “The following…”, or any legacy family formula.</x:v>
      </x:c>
      <x:c r="T63" s="17" t="str">
        <x:v>No First/Secondly/Finally ladder; avoid stock “moreover/furthermore/another important” transitions; movement must follow mechanism, concrete example and caveat.</x:v>
      </x:c>
      <x:c r="U63" s="17" t="str">
        <x:v>Do not use “In conclusion”, “Taken together”, a generic call to action, or a thesis recap; end through a precise takeaway without recapping every paragraph.</x:v>
      </x:c>
      <x:c r="V63" s="17" t="str">
        <x:v>Keep lexical and structural distance from paired brief ECV2-BUS-001 (“Handing a complex project to a new delivery team”) and from the same Topic in other genres. Avoid benefits-list prose, institutional boilerplate and substituted-noun variants. Do not reuse wording, paragraph order or conclusions from “Escalating a Service Risk Early”; its former copy is reference-only.</x:v>
      </x:c>
      <x:c r="W63" s="18" t="str">
        <x:v>No</x:v>
      </x:c>
      <x:c r="X63" s="18" t="str">
        <x:v>No</x:v>
      </x:c>
      <x:c r="Y63" s="18" t="str">
        <x:v>No</x:v>
      </x:c>
      <x:c r="Z63" s="18" t="str">
        <x:v>No</x:v>
      </x:c>
      <x:c r="AA63" s="18" t="str">
        <x:v>No</x:v>
      </x:c>
      <x:c r="AB63" s="18" t="str">
        <x:v>No</x:v>
      </x:c>
      <x:c r="AC63" s="18" t="str">
        <x:v>No</x:v>
      </x:c>
      <x:c r="AD63" s="18" t="str">
        <x:v>No</x:v>
      </x:c>
      <x:c r="AE63" s="18" t="str">
        <x:v>No</x:v>
      </x:c>
    </x:row>
    <x:row r="64" ht="64" customHeight="1">
      <x:c r="A64" s="16" t="str">
        <x:v>ECV2-BUS-003</x:v>
      </x:c>
      <x:c r="B64" s="16" t="str">
        <x:v>ed0e9fad-b181-4f08-bf3a-8b5c71fe6da7</x:v>
      </x:c>
      <x:c r="C64" s="16" t="str">
        <x:v>Reading Before Responding</x:v>
      </x:c>
      <x:c r="D64" s="16" t="str">
        <x:v>Expand</x:v>
      </x:c>
      <x:c r="E64" s="16" t="str">
        <x:v>Business communication</x:v>
      </x:c>
      <x:c r="F64" s="16" t="str">
        <x:v>Technology &amp; digital life</x:v>
      </x:c>
      <x:c r="G64" s="16" t="str">
        <x:v>Customer or stakeholder response</x:v>
      </x:c>
      <x:c r="H64" s="17" t="str">
        <x:v>Responding only after identifying the decision in a complex message</x:v>
      </x:c>
      <x:c r="I64" s="17" t="str">
        <x:v>Resolve or clarify a stakeholder concern through “Responding only after identifying the decision in a complex message”.</x:v>
      </x:c>
      <x:c r="J64" s="17" t="str">
        <x:v>Colleagues and accountable decision-makers</x:v>
      </x:c>
      <x:c r="K64" s="17" t="str">
        <x:v>Compact</x:v>
      </x:c>
      <x:c r="L64" s="17" t="str">
        <x:v>140–199 words</x:v>
      </x:c>
      <x:c r="M64" s="17" t="str">
        <x:v>Accessible</x:v>
      </x:c>
      <x:c r="N64" s="17" t="str">
        <x:v>Calm stakeholder-facing register</x:v>
      </x:c>
      <x:c r="O64" s="17" t="str">
        <x:v>First person singular or plural addressing the recipient</x:v>
      </x:c>
      <x:c r="P64" s="17" t="str">
        <x:v>Present status and future actions</x:v>
      </x:c>
      <x:c r="Q64" s="17" t="str">
        <x:v>2 paragraphs: open with a time-stamped moment; develop through mechanism, concrete example and caveat; close with a return to the opening image with changed meaning.</x:v>
      </x:c>
      <x:c r="R64" s="17" t="str">
        <x:v>Use at least one genuine question. Do not add other marked features artificially.</x:v>
      </x:c>
      <x:c r="S64" s="17" t="str">
        <x:v>Do not restate the title; do not open with “Technology &amp; digital life is important”, “This article/message/proposal sets out…”, “The following…”, or any legacy family formula.</x:v>
      </x:c>
      <x:c r="T64" s="17" t="str">
        <x:v>No First/Secondly/Finally ladder; avoid stock “moreover/furthermore/another important” transitions; movement must follow mechanism, concrete example and caveat.</x:v>
      </x:c>
      <x:c r="U64" s="17" t="str">
        <x:v>Do not use “In conclusion”, “Taken together”, a generic call to action, or a thesis recap; end through a return to the opening image with changed meaning.</x:v>
      </x:c>
      <x:c r="V64" s="17" t="str">
        <x:v>Keep lexical and structural distance from paired brief ECV2-BUS-004 (“Confirming a staged migration from a shared drive to a document platform”) and from the same Topic in other genres. Avoid benefits-list prose, institutional boilerplate and substituted-noun variants. Do not reuse wording, paragraph order or conclusions from “Reading Before Responding”; its former copy is reference-only.</x:v>
      </x:c>
      <x:c r="W64" s="18" t="str">
        <x:v>No</x:v>
      </x:c>
      <x:c r="X64" s="18" t="str">
        <x:v>No</x:v>
      </x:c>
      <x:c r="Y64" s="18" t="str">
        <x:v>No</x:v>
      </x:c>
      <x:c r="Z64" s="18" t="str">
        <x:v>No</x:v>
      </x:c>
      <x:c r="AA64" s="18" t="str">
        <x:v>No</x:v>
      </x:c>
      <x:c r="AB64" s="18" t="str">
        <x:v>No</x:v>
      </x:c>
      <x:c r="AC64" s="18" t="str">
        <x:v>No</x:v>
      </x:c>
      <x:c r="AD64" s="18" t="str">
        <x:v>Yes</x:v>
      </x:c>
      <x:c r="AE64" s="18" t="str">
        <x:v>No</x:v>
      </x:c>
    </x:row>
    <x:row r="65" ht="64" customHeight="1">
      <x:c r="A65" s="16" t="str">
        <x:v>ECV2-BUS-004</x:v>
      </x:c>
      <x:c r="B65" s="16" t="str">
        <x:v>NEW</x:v>
      </x:c>
      <x:c r="C65" s="16" t="str">
        <x:v>NEW</x:v>
      </x:c>
      <x:c r="D65" s="16" t="str">
        <x:v>NEW</x:v>
      </x:c>
      <x:c r="E65" s="16" t="str">
        <x:v>Business communication</x:v>
      </x:c>
      <x:c r="F65" s="16" t="str">
        <x:v>Technology &amp; digital life</x:v>
      </x:c>
      <x:c r="G65" s="16" t="str">
        <x:v>Progress update</x:v>
      </x:c>
      <x:c r="H65" s="17" t="str">
        <x:v>Confirming a staged migration from a shared drive to a document platform</x:v>
      </x:c>
      <x:c r="I65" s="17" t="str">
        <x:v>Give a concise, evidence-based update through “Confirming a staged migration from a shared drive to a document platform”.</x:v>
      </x:c>
      <x:c r="J65" s="17" t="str">
        <x:v>Customers, partners or project stakeholders</x:v>
      </x:c>
      <x:c r="K65" s="17" t="str">
        <x:v>Standard</x:v>
      </x:c>
      <x:c r="L65" s="17" t="str">
        <x:v>200–349 words</x:v>
      </x:c>
      <x:c r="M65" s="17" t="str">
        <x:v>Accessible</x:v>
      </x:c>
      <x:c r="N65" s="17" t="str">
        <x:v>Direct, courteous professional British English</x:v>
      </x:c>
      <x:c r="O65" s="17" t="str">
        <x:v>Second person for explicit actions</x:v>
      </x:c>
      <x:c r="P65" s="17" t="str">
        <x:v>Past evidence, present impact and future commitment</x:v>
      </x:c>
      <x:c r="Q65" s="17" t="str">
        <x:v>3 paragraphs: open with an exception that challenges the usual assumption; develop through mechanism, concrete example and caveat; close with a final stakeholder voice.</x:v>
      </x:c>
      <x:c r="R65" s="17" t="str">
        <x:v>Use at least one contextual Arabic numeral; Include a date or time; Use a semicolon naturally. Do not add other marked features artificially.</x:v>
      </x:c>
      <x:c r="S65" s="17" t="str">
        <x:v>Do not restate the title; do not open with “Technology &amp; digital life is important”, “This article/message/proposal sets out…”, “The following…”, or any legacy family formula.</x:v>
      </x:c>
      <x:c r="T65" s="17" t="str">
        <x:v>No First/Secondly/Finally ladder; avoid stock “moreover/furthermore/another important” transitions; movement must follow mechanism, concrete example and caveat.</x:v>
      </x:c>
      <x:c r="U65" s="17" t="str">
        <x:v>Do not use “In conclusion”, “Taken together”, a generic call to action, or a thesis recap; end through a final stakeholder voice.</x:v>
      </x:c>
      <x:c r="V65" s="17" t="str">
        <x:v>Keep lexical and structural distance from paired brief ECV2-BUS-003 (“Responding only after identifying the decision in a complex message”) and from the same Topic in other genres. Avoid benefits-list prose, institutional boilerplate and substituted-noun variants.</x:v>
      </x:c>
      <x:c r="W65" s="18" t="str">
        <x:v>Yes</x:v>
      </x:c>
      <x:c r="X65" s="18" t="str">
        <x:v>Yes</x:v>
      </x:c>
      <x:c r="Y65" s="18" t="str">
        <x:v>No</x:v>
      </x:c>
      <x:c r="Z65" s="18" t="str">
        <x:v>No</x:v>
      </x:c>
      <x:c r="AA65" s="18" t="str">
        <x:v>No</x:v>
      </x:c>
      <x:c r="AB65" s="18" t="str">
        <x:v>Yes</x:v>
      </x:c>
      <x:c r="AC65" s="18" t="str">
        <x:v>No</x:v>
      </x:c>
      <x:c r="AD65" s="18" t="str">
        <x:v>No</x:v>
      </x:c>
      <x:c r="AE65" s="18" t="str">
        <x:v>No</x:v>
      </x:c>
    </x:row>
    <x:row r="66" ht="64" customHeight="1">
      <x:c r="A66" s="16" t="str">
        <x:v>ECV2-BUS-005</x:v>
      </x:c>
      <x:c r="B66" s="16" t="str">
        <x:v>NEW</x:v>
      </x:c>
      <x:c r="C66" s="16" t="str">
        <x:v>NEW</x:v>
      </x:c>
      <x:c r="D66" s="16" t="str">
        <x:v>NEW</x:v>
      </x:c>
      <x:c r="E66" s="16" t="str">
        <x:v>Business communication</x:v>
      </x:c>
      <x:c r="F66" s="16" t="str">
        <x:v>Health &amp; wellbeing</x:v>
      </x:c>
      <x:c r="G66" s="16" t="str">
        <x:v>Decision request</x:v>
      </x:c>
      <x:c r="H66" s="17" t="str">
        <x:v>Requesting approval for a staff wellbeing pilot</x:v>
      </x:c>
      <x:c r="I66" s="17" t="str">
        <x:v>Secure a clear and timely decision through “Requesting approval for a staff wellbeing pilot”.</x:v>
      </x:c>
      <x:c r="J66" s="17" t="str">
        <x:v>Colleagues and accountable decision-makers</x:v>
      </x:c>
      <x:c r="K66" s="17" t="str">
        <x:v>Compact</x:v>
      </x:c>
      <x:c r="L66" s="17" t="str">
        <x:v>140–199 words</x:v>
      </x:c>
      <x:c r="M66" s="17" t="str">
        <x:v>Core</x:v>
      </x:c>
      <x:c r="N66" s="17" t="str">
        <x:v>Concise action-oriented business register</x:v>
      </x:c>
      <x:c r="O66" s="17" t="str">
        <x:v>First person singular or plural addressing the recipient</x:v>
      </x:c>
      <x:c r="P66" s="17" t="str">
        <x:v>Present status and future actions</x:v>
      </x:c>
      <x:c r="Q66" s="17" t="str">
        <x:v>2 paragraphs: open with the practical consequence before its cause; develop through mechanism, concrete example and caveat; close with a forward time marker.</x:v>
      </x:c>
      <x:c r="R66" s="17" t="str">
        <x:v>Use at least one contextual Arabic numeral; Include a percentage, currency amount or measurement; Use a colon naturally; Use at least one genuine question. Do not add other marked features artificially.</x:v>
      </x:c>
      <x:c r="S66" s="17" t="str">
        <x:v>Do not restate the title; do not open with “Health &amp; wellbeing is important”, “This article/message/proposal sets out…”, “The following…”, or any legacy family formula.</x:v>
      </x:c>
      <x:c r="T66" s="17" t="str">
        <x:v>No First/Secondly/Finally ladder; avoid stock “moreover/furthermore/another important” transitions; movement must follow mechanism, concrete example and caveat.</x:v>
      </x:c>
      <x:c r="U66" s="17" t="str">
        <x:v>Do not use “In conclusion”, “Taken together”, a generic call to action, or a thesis recap; end through a forward time marker.</x:v>
      </x:c>
      <x:c r="V66" s="17" t="str">
        <x:v>Keep lexical and structural distance from paired brief ECV2-BUS-006 (“Reporting delays in occupational-health referrals”) and from the same Topic in other genres. Avoid benefits-list prose, institutional boilerplate and substituted-noun variants.</x:v>
      </x:c>
      <x:c r="W66" s="18" t="str">
        <x:v>Yes</x:v>
      </x:c>
      <x:c r="X66" s="18" t="str">
        <x:v>No</x:v>
      </x:c>
      <x:c r="Y66" s="18" t="str">
        <x:v>Yes</x:v>
      </x:c>
      <x:c r="Z66" s="18" t="str">
        <x:v>No</x:v>
      </x:c>
      <x:c r="AA66" s="18" t="str">
        <x:v>Yes</x:v>
      </x:c>
      <x:c r="AB66" s="18" t="str">
        <x:v>No</x:v>
      </x:c>
      <x:c r="AC66" s="18" t="str">
        <x:v>No</x:v>
      </x:c>
      <x:c r="AD66" s="18" t="str">
        <x:v>Yes</x:v>
      </x:c>
      <x:c r="AE66" s="18" t="str">
        <x:v>No</x:v>
      </x:c>
    </x:row>
    <x:row r="67" ht="64" customHeight="1">
      <x:c r="A67" s="16" t="str">
        <x:v>ECV2-BUS-006</x:v>
      </x:c>
      <x:c r="B67" s="16" t="str">
        <x:v>NEW</x:v>
      </x:c>
      <x:c r="C67" s="16" t="str">
        <x:v>NEW</x:v>
      </x:c>
      <x:c r="D67" s="16" t="str">
        <x:v>NEW</x:v>
      </x:c>
      <x:c r="E67" s="16" t="str">
        <x:v>Business communication</x:v>
      </x:c>
      <x:c r="F67" s="16" t="str">
        <x:v>Health &amp; wellbeing</x:v>
      </x:c>
      <x:c r="G67" s="16" t="str">
        <x:v>Risk escalation</x:v>
      </x:c>
      <x:c r="H67" s="17" t="str">
        <x:v>Reporting delays in occupational-health referrals</x:v>
      </x:c>
      <x:c r="I67" s="17" t="str">
        <x:v>Escalate impact, evidence and required action through “Reporting delays in occupational-health referrals”.</x:v>
      </x:c>
      <x:c r="J67" s="17" t="str">
        <x:v>Customers, partners or project stakeholders</x:v>
      </x:c>
      <x:c r="K67" s="17" t="str">
        <x:v>Compact</x:v>
      </x:c>
      <x:c r="L67" s="17" t="str">
        <x:v>140–199 words</x:v>
      </x:c>
      <x:c r="M67" s="17" t="str">
        <x:v>Core</x:v>
      </x:c>
      <x:c r="N67" s="17" t="str">
        <x:v>Calm stakeholder-facing register</x:v>
      </x:c>
      <x:c r="O67" s="17" t="str">
        <x:v>Second person for explicit actions</x:v>
      </x:c>
      <x:c r="P67" s="17" t="str">
        <x:v>Past evidence, present impact and future commitment</x:v>
      </x:c>
      <x:c r="Q67" s="17" t="str">
        <x:v>3 paragraphs: open with a stakeholder voice; develop through mechanism, concrete example and caveat; close with the next decision that must be made.</x:v>
      </x:c>
      <x:c r="R67" s="17" t="str">
        <x:v>Use one necessary parenthetical phrase. Do not add other marked features artificially.</x:v>
      </x:c>
      <x:c r="S67" s="17" t="str">
        <x:v>Do not restate the title; do not open with “Health &amp; wellbeing is important”, “This article/message/proposal sets out…”, “The following…”, or any legacy family formula.</x:v>
      </x:c>
      <x:c r="T67" s="17" t="str">
        <x:v>No First/Secondly/Finally ladder; avoid stock “moreover/furthermore/another important” transitions; movement must follow mechanism, concrete example and caveat.</x:v>
      </x:c>
      <x:c r="U67" s="17" t="str">
        <x:v>Do not use “In conclusion”, “Taken together”, a generic call to action, or a thesis recap; end through the next decision that must be made.</x:v>
      </x:c>
      <x:c r="V67" s="17" t="str">
        <x:v>Keep lexical and structural distance from paired brief ECV2-BUS-005 (“Requesting approval for a staff wellbeing pilot”) and from the same Topic in other genres. Avoid benefits-list prose, institutional boilerplate and substituted-noun variants.</x:v>
      </x:c>
      <x:c r="W67" s="18" t="str">
        <x:v>No</x:v>
      </x:c>
      <x:c r="X67" s="18" t="str">
        <x:v>No</x:v>
      </x:c>
      <x:c r="Y67" s="18" t="str">
        <x:v>No</x:v>
      </x:c>
      <x:c r="Z67" s="18" t="str">
        <x:v>No</x:v>
      </x:c>
      <x:c r="AA67" s="18" t="str">
        <x:v>No</x:v>
      </x:c>
      <x:c r="AB67" s="18" t="str">
        <x:v>No</x:v>
      </x:c>
      <x:c r="AC67" s="18" t="str">
        <x:v>Yes</x:v>
      </x:c>
      <x:c r="AD67" s="18" t="str">
        <x:v>No</x:v>
      </x:c>
      <x:c r="AE67" s="18" t="str">
        <x:v>No</x:v>
      </x:c>
    </x:row>
    <x:row r="68" ht="64" customHeight="1">
      <x:c r="A68" s="16" t="str">
        <x:v>ECV2-BUS-007</x:v>
      </x:c>
      <x:c r="B68" s="16" t="str">
        <x:v>NEW</x:v>
      </x:c>
      <x:c r="C68" s="16" t="str">
        <x:v>NEW</x:v>
      </x:c>
      <x:c r="D68" s="16" t="str">
        <x:v>NEW</x:v>
      </x:c>
      <x:c r="E68" s="16" t="str">
        <x:v>Business communication</x:v>
      </x:c>
      <x:c r="F68" s="16" t="str">
        <x:v>Education &amp; learning</x:v>
      </x:c>
      <x:c r="G68" s="16" t="str">
        <x:v>Decision request</x:v>
      </x:c>
      <x:c r="H68" s="17" t="str">
        <x:v>Seeking a decision on an apprenticeship training budget</x:v>
      </x:c>
      <x:c r="I68" s="17" t="str">
        <x:v>Secure a clear and timely decision through “Seeking a decision on an apprenticeship training budget”.</x:v>
      </x:c>
      <x:c r="J68" s="17" t="str">
        <x:v>Colleagues and accountable decision-makers</x:v>
      </x:c>
      <x:c r="K68" s="17" t="str">
        <x:v>Compact</x:v>
      </x:c>
      <x:c r="L68" s="17" t="str">
        <x:v>140–199 words</x:v>
      </x:c>
      <x:c r="M68" s="17" t="str">
        <x:v>Core</x:v>
      </x:c>
      <x:c r="N68" s="17" t="str">
        <x:v>Direct, courteous professional British English</x:v>
      </x:c>
      <x:c r="O68" s="17" t="str">
        <x:v>First person singular or plural addressing the recipient</x:v>
      </x:c>
      <x:c r="P68" s="17" t="str">
        <x:v>Present status and future actions</x:v>
      </x:c>
      <x:c r="Q68" s="17" t="str">
        <x:v>2 paragraphs: open with a process already in motion; develop through mechanism, concrete example and caveat; close with one measurable consequence.</x:v>
      </x:c>
      <x:c r="R68" s="17" t="str">
        <x:v>Use at least one contextual Arabic numeral; Use at least one genuine question. Do not add other marked features artificially.</x:v>
      </x:c>
      <x:c r="S68" s="17" t="str">
        <x:v>Do not restate the title; do not open with “Education &amp; learning is important”, “This article/message/proposal sets out…”, “The following…”, or any legacy family formula.</x:v>
      </x:c>
      <x:c r="T68" s="17" t="str">
        <x:v>No First/Secondly/Finally ladder; avoid stock “moreover/furthermore/another important” transitions; movement must follow mechanism, concrete example and caveat.</x:v>
      </x:c>
      <x:c r="U68" s="17" t="str">
        <x:v>Do not use “In conclusion”, “Taken together”, a generic call to action, or a thesis recap; end through one measurable consequence.</x:v>
      </x:c>
      <x:c r="V68" s="17" t="str">
        <x:v>Keep lexical and structural distance from paired brief ECV2-BUS-008 (“Handing an induction programme to a regional team”) and from the same Topic in other genres. Avoid benefits-list prose, institutional boilerplate and substituted-noun variants.</x:v>
      </x:c>
      <x:c r="W68" s="18" t="str">
        <x:v>Yes</x:v>
      </x:c>
      <x:c r="X68" s="18" t="str">
        <x:v>No</x:v>
      </x:c>
      <x:c r="Y68" s="18" t="str">
        <x:v>No</x:v>
      </x:c>
      <x:c r="Z68" s="18" t="str">
        <x:v>No</x:v>
      </x:c>
      <x:c r="AA68" s="18" t="str">
        <x:v>No</x:v>
      </x:c>
      <x:c r="AB68" s="18" t="str">
        <x:v>No</x:v>
      </x:c>
      <x:c r="AC68" s="18" t="str">
        <x:v>No</x:v>
      </x:c>
      <x:c r="AD68" s="18" t="str">
        <x:v>Yes</x:v>
      </x:c>
      <x:c r="AE68" s="18" t="str">
        <x:v>No</x:v>
      </x:c>
    </x:row>
    <x:row r="69" ht="64" customHeight="1">
      <x:c r="A69" s="16" t="str">
        <x:v>ECV2-BUS-008</x:v>
      </x:c>
      <x:c r="B69" s="16" t="str">
        <x:v>NEW</x:v>
      </x:c>
      <x:c r="C69" s="16" t="str">
        <x:v>NEW</x:v>
      </x:c>
      <x:c r="D69" s="16" t="str">
        <x:v>NEW</x:v>
      </x:c>
      <x:c r="E69" s="16" t="str">
        <x:v>Business communication</x:v>
      </x:c>
      <x:c r="F69" s="16" t="str">
        <x:v>Education &amp; learning</x:v>
      </x:c>
      <x:c r="G69" s="16" t="str">
        <x:v>Handover note</x:v>
      </x:c>
      <x:c r="H69" s="17" t="str">
        <x:v>Handing an induction programme to a regional team</x:v>
      </x:c>
      <x:c r="I69" s="17" t="str">
        <x:v>Transfer ownership and next actions through “Handing an induction programme to a regional team”.</x:v>
      </x:c>
      <x:c r="J69" s="17" t="str">
        <x:v>Customers, partners or project stakeholders</x:v>
      </x:c>
      <x:c r="K69" s="17" t="str">
        <x:v>Standard</x:v>
      </x:c>
      <x:c r="L69" s="17" t="str">
        <x:v>200–349 words</x:v>
      </x:c>
      <x:c r="M69" s="17" t="str">
        <x:v>Core</x:v>
      </x:c>
      <x:c r="N69" s="17" t="str">
        <x:v>Concise action-oriented business register</x:v>
      </x:c>
      <x:c r="O69" s="17" t="str">
        <x:v>Second person for explicit actions</x:v>
      </x:c>
      <x:c r="P69" s="17" t="str">
        <x:v>Past evidence, present impact and future commitment</x:v>
      </x:c>
      <x:c r="Q69" s="17" t="str">
        <x:v>4 paragraphs: open with a corrected misconception; develop through mechanism, concrete example and caveat; close with the exception that still needs attention.</x:v>
      </x:c>
      <x:c r="R69" s="17" t="str">
        <x:v>Use a semicolon naturally. Do not add other marked features artificially.</x:v>
      </x:c>
      <x:c r="S69" s="17" t="str">
        <x:v>Do not restate the title; do not open with “Education &amp; learning is important”, “This article/message/proposal sets out…”, “The following…”, or any legacy family formula.</x:v>
      </x:c>
      <x:c r="T69" s="17" t="str">
        <x:v>No First/Secondly/Finally ladder; avoid stock “moreover/furthermore/another important” transitions; movement must follow mechanism, concrete example and caveat.</x:v>
      </x:c>
      <x:c r="U69" s="17" t="str">
        <x:v>Do not use “In conclusion”, “Taken together”, a generic call to action, or a thesis recap; end through the exception that still needs attention.</x:v>
      </x:c>
      <x:c r="V69" s="17" t="str">
        <x:v>Keep lexical and structural distance from paired brief ECV2-BUS-007 (“Seeking a decision on an apprenticeship training budget”) and from the same Topic in other genres. Avoid benefits-list prose, institutional boilerplate and substituted-noun variants.</x:v>
      </x:c>
      <x:c r="W69" s="18" t="str">
        <x:v>No</x:v>
      </x:c>
      <x:c r="X69" s="18" t="str">
        <x:v>No</x:v>
      </x:c>
      <x:c r="Y69" s="18" t="str">
        <x:v>No</x:v>
      </x:c>
      <x:c r="Z69" s="18" t="str">
        <x:v>No</x:v>
      </x:c>
      <x:c r="AA69" s="18" t="str">
        <x:v>No</x:v>
      </x:c>
      <x:c r="AB69" s="18" t="str">
        <x:v>Yes</x:v>
      </x:c>
      <x:c r="AC69" s="18" t="str">
        <x:v>No</x:v>
      </x:c>
      <x:c r="AD69" s="18" t="str">
        <x:v>No</x:v>
      </x:c>
      <x:c r="AE69" s="18" t="str">
        <x:v>No</x:v>
      </x:c>
    </x:row>
    <x:row r="70" ht="64" customHeight="1">
      <x:c r="A70" s="16" t="str">
        <x:v>ECV2-BUS-009</x:v>
      </x:c>
      <x:c r="B70" s="16" t="str">
        <x:v>NEW</x:v>
      </x:c>
      <x:c r="C70" s="16" t="str">
        <x:v>NEW</x:v>
      </x:c>
      <x:c r="D70" s="16" t="str">
        <x:v>NEW</x:v>
      </x:c>
      <x:c r="E70" s="16" t="str">
        <x:v>Business communication</x:v>
      </x:c>
      <x:c r="F70" s="16" t="str">
        <x:v>Environment &amp; sustainability</x:v>
      </x:c>
      <x:c r="G70" s="16" t="str">
        <x:v>Risk escalation</x:v>
      </x:c>
      <x:c r="H70" s="17" t="str">
        <x:v>Escalating a supplier packaging-compliance gap</x:v>
      </x:c>
      <x:c r="I70" s="17" t="str">
        <x:v>Escalate impact, evidence and required action through “Escalating a supplier packaging-compliance gap”.</x:v>
      </x:c>
      <x:c r="J70" s="17" t="str">
        <x:v>Colleagues and accountable decision-makers</x:v>
      </x:c>
      <x:c r="K70" s="17" t="str">
        <x:v>Compact</x:v>
      </x:c>
      <x:c r="L70" s="17" t="str">
        <x:v>140–199 words</x:v>
      </x:c>
      <x:c r="M70" s="17" t="str">
        <x:v>Challenging</x:v>
      </x:c>
      <x:c r="N70" s="17" t="str">
        <x:v>Calm stakeholder-facing register</x:v>
      </x:c>
      <x:c r="O70" s="17" t="str">
        <x:v>First person singular or plural addressing the recipient</x:v>
      </x:c>
      <x:c r="P70" s="17" t="str">
        <x:v>Present status and future actions</x:v>
      </x:c>
      <x:c r="Q70" s="17" t="str">
        <x:v>2 paragraphs: open with one meaningful data point; develop through mechanism, concrete example and caveat; close with an unresolved but specific implication.</x:v>
      </x:c>
      <x:c r="R70" s="17" t="str">
        <x:v>Use a colon naturally. Do not add other marked features artificially.</x:v>
      </x:c>
      <x:c r="S70" s="17" t="str">
        <x:v>Do not restate the title; do not open with “Environment &amp; sustainability is important”, “This article/message/proposal sets out…”, “The following…”, or any legacy family formula.</x:v>
      </x:c>
      <x:c r="T70" s="17" t="str">
        <x:v>No First/Secondly/Finally ladder; avoid stock “moreover/furthermore/another important” transitions; movement must follow mechanism, concrete example and caveat.</x:v>
      </x:c>
      <x:c r="U70" s="17" t="str">
        <x:v>Do not use “In conclusion”, “Taken together”, a generic call to action, or a thesis recap; end through an unresolved but specific implication.</x:v>
      </x:c>
      <x:c r="V70" s="17" t="str">
        <x:v>Keep lexical and structural distance from paired brief ECV2-BUS-010 (“Reporting progress against an office energy-reduction target”) and from the same Topic in other genres. Avoid benefits-list prose, institutional boilerplate and substituted-noun variants.</x:v>
      </x:c>
      <x:c r="W70" s="18" t="str">
        <x:v>No</x:v>
      </x:c>
      <x:c r="X70" s="18" t="str">
        <x:v>No</x:v>
      </x:c>
      <x:c r="Y70" s="18" t="str">
        <x:v>No</x:v>
      </x:c>
      <x:c r="Z70" s="18" t="str">
        <x:v>No</x:v>
      </x:c>
      <x:c r="AA70" s="18" t="str">
        <x:v>Yes</x:v>
      </x:c>
      <x:c r="AB70" s="18" t="str">
        <x:v>No</x:v>
      </x:c>
      <x:c r="AC70" s="18" t="str">
        <x:v>No</x:v>
      </x:c>
      <x:c r="AD70" s="18" t="str">
        <x:v>No</x:v>
      </x:c>
      <x:c r="AE70" s="18" t="str">
        <x:v>No</x:v>
      </x:c>
    </x:row>
    <x:row r="71" ht="64" customHeight="1">
      <x:c r="A71" s="16" t="str">
        <x:v>ECV2-BUS-010</x:v>
      </x:c>
      <x:c r="B71" s="16" t="str">
        <x:v>NEW</x:v>
      </x:c>
      <x:c r="C71" s="16" t="str">
        <x:v>NEW</x:v>
      </x:c>
      <x:c r="D71" s="16" t="str">
        <x:v>NEW</x:v>
      </x:c>
      <x:c r="E71" s="16" t="str">
        <x:v>Business communication</x:v>
      </x:c>
      <x:c r="F71" s="16" t="str">
        <x:v>Environment &amp; sustainability</x:v>
      </x:c>
      <x:c r="G71" s="16" t="str">
        <x:v>Progress update</x:v>
      </x:c>
      <x:c r="H71" s="17" t="str">
        <x:v>Reporting progress against an office energy-reduction target</x:v>
      </x:c>
      <x:c r="I71" s="17" t="str">
        <x:v>Give a concise, evidence-based update through “Reporting progress against an office energy-reduction target”.</x:v>
      </x:c>
      <x:c r="J71" s="17" t="str">
        <x:v>Customers, partners or project stakeholders</x:v>
      </x:c>
      <x:c r="K71" s="17" t="str">
        <x:v>Standard</x:v>
      </x:c>
      <x:c r="L71" s="17" t="str">
        <x:v>200–349 words</x:v>
      </x:c>
      <x:c r="M71" s="17" t="str">
        <x:v>Challenging</x:v>
      </x:c>
      <x:c r="N71" s="17" t="str">
        <x:v>Direct, courteous professional British English</x:v>
      </x:c>
      <x:c r="O71" s="17" t="str">
        <x:v>Second person for explicit actions</x:v>
      </x:c>
      <x:c r="P71" s="17" t="str">
        <x:v>Past evidence, present impact and future commitment</x:v>
      </x:c>
      <x:c r="Q71" s="17" t="str">
        <x:v>3 paragraphs: open with a physical place or object; develop through mechanism, concrete example and caveat; close with a practical boundary rather than a promise.</x:v>
      </x:c>
      <x:c r="R71" s="17" t="str">
        <x:v>Include a percentage, currency amount or measurement; Use one restrained exclamation mark. Do not add other marked features artificially.</x:v>
      </x:c>
      <x:c r="S71" s="17" t="str">
        <x:v>Do not restate the title; do not open with “Environment &amp; sustainability is important”, “This article/message/proposal sets out…”, “The following…”, or any legacy family formula.</x:v>
      </x:c>
      <x:c r="T71" s="17" t="str">
        <x:v>No First/Secondly/Finally ladder; avoid stock “moreover/furthermore/another important” transitions; movement must follow mechanism, concrete example and caveat.</x:v>
      </x:c>
      <x:c r="U71" s="17" t="str">
        <x:v>Do not use “In conclusion”, “Taken together”, a generic call to action, or a thesis recap; end through a practical boundary rather than a promise.</x:v>
      </x:c>
      <x:c r="V71" s="17" t="str">
        <x:v>Keep lexical and structural distance from paired brief ECV2-BUS-009 (“Escalating a supplier packaging-compliance gap”) and from the same Topic in other genres. Avoid benefits-list prose, institutional boilerplate and substituted-noun variants.</x:v>
      </x:c>
      <x:c r="W71" s="18" t="str">
        <x:v>No</x:v>
      </x:c>
      <x:c r="X71" s="18" t="str">
        <x:v>No</x:v>
      </x:c>
      <x:c r="Y71" s="18" t="str">
        <x:v>Yes</x:v>
      </x:c>
      <x:c r="Z71" s="18" t="str">
        <x:v>No</x:v>
      </x:c>
      <x:c r="AA71" s="18" t="str">
        <x:v>No</x:v>
      </x:c>
      <x:c r="AB71" s="18" t="str">
        <x:v>No</x:v>
      </x:c>
      <x:c r="AC71" s="18" t="str">
        <x:v>No</x:v>
      </x:c>
      <x:c r="AD71" s="18" t="str">
        <x:v>No</x:v>
      </x:c>
      <x:c r="AE71" s="18" t="str">
        <x:v>Yes</x:v>
      </x:c>
    </x:row>
    <x:row r="72" ht="64" customHeight="1">
      <x:c r="A72" s="16" t="str">
        <x:v>ECV2-BUS-011</x:v>
      </x:c>
      <x:c r="B72" s="16" t="str">
        <x:v>NEW</x:v>
      </x:c>
      <x:c r="C72" s="16" t="str">
        <x:v>NEW</x:v>
      </x:c>
      <x:c r="D72" s="16" t="str">
        <x:v>NEW</x:v>
      </x:c>
      <x:c r="E72" s="16" t="str">
        <x:v>Business communication</x:v>
      </x:c>
      <x:c r="F72" s="16" t="str">
        <x:v>Transport, housing &amp; places</x:v>
      </x:c>
      <x:c r="G72" s="16" t="str">
        <x:v>Customer or stakeholder response</x:v>
      </x:c>
      <x:c r="H72" s="17" t="str">
        <x:v>Notifying clients about a change to warehouse access</x:v>
      </x:c>
      <x:c r="I72" s="17" t="str">
        <x:v>Resolve or clarify a stakeholder concern through “Notifying clients about a change to warehouse access”.</x:v>
      </x:c>
      <x:c r="J72" s="17" t="str">
        <x:v>Colleagues and accountable decision-makers</x:v>
      </x:c>
      <x:c r="K72" s="17" t="str">
        <x:v>Standard</x:v>
      </x:c>
      <x:c r="L72" s="17" t="str">
        <x:v>200–349 words</x:v>
      </x:c>
      <x:c r="M72" s="17" t="str">
        <x:v>Accessible</x:v>
      </x:c>
      <x:c r="N72" s="17" t="str">
        <x:v>Concise action-oriented business register</x:v>
      </x:c>
      <x:c r="O72" s="17" t="str">
        <x:v>First person singular or plural addressing the recipient</x:v>
      </x:c>
      <x:c r="P72" s="17" t="str">
        <x:v>Present status and future actions</x:v>
      </x:c>
      <x:c r="Q72" s="17" t="str">
        <x:v>4 paragraphs: open with a concrete action already under way; develop through evidence, counterargument and bounded judgement; close with the exception that still needs attention.</x:v>
      </x:c>
      <x:c r="R72" s="17" t="str">
        <x:v>Use natural full stops, commas and apostrophes; do not add marked punctuation or numbers artificially.</x:v>
      </x:c>
      <x:c r="S72" s="17" t="str">
        <x:v>Do not restate the title; do not open with “Transport, housing &amp; places is important”, “This article/message/proposal sets out…”, “The following…”, or any legacy family formula.</x:v>
      </x:c>
      <x:c r="T72" s="17" t="str">
        <x:v>No First/Secondly/Finally ladder; avoid stock “moreover/furthermore/another important” transitions; movement must follow evidence, counterargument and bounded judgement.</x:v>
      </x:c>
      <x:c r="U72" s="17" t="str">
        <x:v>Do not use “In conclusion”, “Taken together”, a generic call to action, or a thesis recap; end through the exception that still needs attention.</x:v>
      </x:c>
      <x:c r="V72" s="17" t="str">
        <x:v>Keep lexical and structural distance from paired brief ECV2-BUS-012 (“Requesting approval for a revised delivery cut-off time”) and from the same Topic in other genres. Avoid benefits-list prose, institutional boilerplate and substituted-noun variants.</x:v>
      </x:c>
      <x:c r="W72" s="18" t="str">
        <x:v>No</x:v>
      </x:c>
      <x:c r="X72" s="18" t="str">
        <x:v>No</x:v>
      </x:c>
      <x:c r="Y72" s="18" t="str">
        <x:v>No</x:v>
      </x:c>
      <x:c r="Z72" s="18" t="str">
        <x:v>No</x:v>
      </x:c>
      <x:c r="AA72" s="18" t="str">
        <x:v>No</x:v>
      </x:c>
      <x:c r="AB72" s="18" t="str">
        <x:v>No</x:v>
      </x:c>
      <x:c r="AC72" s="18" t="str">
        <x:v>No</x:v>
      </x:c>
      <x:c r="AD72" s="18" t="str">
        <x:v>No</x:v>
      </x:c>
      <x:c r="AE72" s="18" t="str">
        <x:v>No</x:v>
      </x:c>
    </x:row>
    <x:row r="73" ht="64" customHeight="1">
      <x:c r="A73" s="16" t="str">
        <x:v>ECV2-BUS-012</x:v>
      </x:c>
      <x:c r="B73" s="16" t="str">
        <x:v>NEW</x:v>
      </x:c>
      <x:c r="C73" s="16" t="str">
        <x:v>NEW</x:v>
      </x:c>
      <x:c r="D73" s="16" t="str">
        <x:v>NEW</x:v>
      </x:c>
      <x:c r="E73" s="16" t="str">
        <x:v>Business communication</x:v>
      </x:c>
      <x:c r="F73" s="16" t="str">
        <x:v>Transport, housing &amp; places</x:v>
      </x:c>
      <x:c r="G73" s="16" t="str">
        <x:v>Decision request</x:v>
      </x:c>
      <x:c r="H73" s="17" t="str">
        <x:v>Requesting approval for a revised delivery cut-off time</x:v>
      </x:c>
      <x:c r="I73" s="17" t="str">
        <x:v>Secure a clear and timely decision through “Requesting approval for a revised delivery cut-off time”.</x:v>
      </x:c>
      <x:c r="J73" s="17" t="str">
        <x:v>Customers, partners or project stakeholders</x:v>
      </x:c>
      <x:c r="K73" s="17" t="str">
        <x:v>Standard</x:v>
      </x:c>
      <x:c r="L73" s="17" t="str">
        <x:v>200–349 words</x:v>
      </x:c>
      <x:c r="M73" s="17" t="str">
        <x:v>Core</x:v>
      </x:c>
      <x:c r="N73" s="17" t="str">
        <x:v>Calm stakeholder-facing register</x:v>
      </x:c>
      <x:c r="O73" s="17" t="str">
        <x:v>Second person for explicit actions</x:v>
      </x:c>
      <x:c r="P73" s="17" t="str">
        <x:v>Past evidence, present impact and future commitment</x:v>
      </x:c>
      <x:c r="Q73" s="17" t="str">
        <x:v>5 paragraphs: open with a brief contrast between expectation and result; develop through evidence, counterargument and bounded judgement; close with an unresolved but specific implication.</x:v>
      </x:c>
      <x:c r="R73" s="17" t="str">
        <x:v>Use at least one contextual Arabic numeral; Include a date or time; Use a semicolon naturally; Use one necessary parenthetical phrase; Use at least one genuine question. Do not add other marked features artificially.</x:v>
      </x:c>
      <x:c r="S73" s="17" t="str">
        <x:v>Do not restate the title; do not open with “Transport, housing &amp; places is important”, “This article/message/proposal sets out…”, “The following…”, or any legacy family formula.</x:v>
      </x:c>
      <x:c r="T73" s="17" t="str">
        <x:v>No First/Secondly/Finally ladder; avoid stock “moreover/furthermore/another important” transitions; movement must follow evidence, counterargument and bounded judgement.</x:v>
      </x:c>
      <x:c r="U73" s="17" t="str">
        <x:v>Do not use “In conclusion”, “Taken together”, a generic call to action, or a thesis recap; end through an unresolved but specific implication.</x:v>
      </x:c>
      <x:c r="V73" s="17" t="str">
        <x:v>Keep lexical and structural distance from paired brief ECV2-BUS-011 (“Notifying clients about a change to warehouse access”) and from the same Topic in other genres. Avoid benefits-list prose, institutional boilerplate and substituted-noun variants.</x:v>
      </x:c>
      <x:c r="W73" s="18" t="str">
        <x:v>Yes</x:v>
      </x:c>
      <x:c r="X73" s="18" t="str">
        <x:v>Yes</x:v>
      </x:c>
      <x:c r="Y73" s="18" t="str">
        <x:v>No</x:v>
      </x:c>
      <x:c r="Z73" s="18" t="str">
        <x:v>No</x:v>
      </x:c>
      <x:c r="AA73" s="18" t="str">
        <x:v>No</x:v>
      </x:c>
      <x:c r="AB73" s="18" t="str">
        <x:v>Yes</x:v>
      </x:c>
      <x:c r="AC73" s="18" t="str">
        <x:v>Yes</x:v>
      </x:c>
      <x:c r="AD73" s="18" t="str">
        <x:v>Yes</x:v>
      </x:c>
      <x:c r="AE73" s="18" t="str">
        <x:v>No</x:v>
      </x:c>
    </x:row>
    <x:row r="74" ht="64" customHeight="1">
      <x:c r="A74" s="16" t="str">
        <x:v>ECV2-BUS-013</x:v>
      </x:c>
      <x:c r="B74" s="16" t="str">
        <x:v>d9b28b43-0216-414c-b782-585602865712</x:v>
      </x:c>
      <x:c r="C74" s="16" t="str">
        <x:v>Requesting a Decision Without Creating Pressure</x:v>
      </x:c>
      <x:c r="D74" s="16" t="str">
        <x:v>Rewrite completely</x:v>
      </x:c>
      <x:c r="E74" s="16" t="str">
        <x:v>Business communication</x:v>
      </x:c>
      <x:c r="F74" s="16" t="str">
        <x:v>Money &amp; the economy</x:v>
      </x:c>
      <x:c r="G74" s="16" t="str">
        <x:v>Decision request</x:v>
      </x:c>
      <x:c r="H74" s="17" t="str">
        <x:v>Requesting a timely budget decision without creating pressure</x:v>
      </x:c>
      <x:c r="I74" s="17" t="str">
        <x:v>Secure a clear and timely decision through “Requesting a timely budget decision without creating pressure”.</x:v>
      </x:c>
      <x:c r="J74" s="17" t="str">
        <x:v>Colleagues and accountable decision-makers</x:v>
      </x:c>
      <x:c r="K74" s="17" t="str">
        <x:v>Compact</x:v>
      </x:c>
      <x:c r="L74" s="17" t="str">
        <x:v>140–199 words</x:v>
      </x:c>
      <x:c r="M74" s="17" t="str">
        <x:v>Core</x:v>
      </x:c>
      <x:c r="N74" s="17" t="str">
        <x:v>Direct, courteous professional British English</x:v>
      </x:c>
      <x:c r="O74" s="17" t="str">
        <x:v>First person singular or plural addressing the recipient</x:v>
      </x:c>
      <x:c r="P74" s="17" t="str">
        <x:v>Present status and future actions</x:v>
      </x:c>
      <x:c r="Q74" s="17" t="str">
        <x:v>2 paragraphs: open with one precise observation; develop through evidence, counterargument and bounded judgement; close with a practical boundary rather than a promise.</x:v>
      </x:c>
      <x:c r="R74" s="17" t="str">
        <x:v>Use at least one contextual Arabic numeral; Use a colon naturally. Do not add other marked features artificially.</x:v>
      </x:c>
      <x:c r="S74" s="17" t="str">
        <x:v>Do not restate the title; do not open with “Money &amp; the economy is important”, “This article/message/proposal sets out…”, “The following…”, or any legacy family formula.</x:v>
      </x:c>
      <x:c r="T74" s="17" t="str">
        <x:v>No First/Secondly/Finally ladder; avoid stock “moreover/furthermore/another important” transitions; movement must follow evidence, counterargument and bounded judgement.</x:v>
      </x:c>
      <x:c r="U74" s="17" t="str">
        <x:v>Do not use “In conclusion”, “Taken together”, a generic call to action, or a thesis recap; end through a practical boundary rather than a promise.</x:v>
      </x:c>
      <x:c r="V74" s="17" t="str">
        <x:v>Keep lexical and structural distance from paired brief ECV2-BUS-014 (“Explaining a corrected invoice after a duplicate charge”) and from the same Topic in other genres. Avoid benefits-list prose, institutional boilerplate and substituted-noun variants. Do not reuse wording, paragraph order or conclusions from “Requesting a Decision Without Creating Pressure”; its former copy is reference-only.</x:v>
      </x:c>
      <x:c r="W74" s="18" t="str">
        <x:v>Yes</x:v>
      </x:c>
      <x:c r="X74" s="18" t="str">
        <x:v>No</x:v>
      </x:c>
      <x:c r="Y74" s="18" t="str">
        <x:v>No</x:v>
      </x:c>
      <x:c r="Z74" s="18" t="str">
        <x:v>No</x:v>
      </x:c>
      <x:c r="AA74" s="18" t="str">
        <x:v>Yes</x:v>
      </x:c>
      <x:c r="AB74" s="18" t="str">
        <x:v>No</x:v>
      </x:c>
      <x:c r="AC74" s="18" t="str">
        <x:v>No</x:v>
      </x:c>
      <x:c r="AD74" s="18" t="str">
        <x:v>No</x:v>
      </x:c>
      <x:c r="AE74" s="18" t="str">
        <x:v>No</x:v>
      </x:c>
    </x:row>
    <x:row r="75" ht="64" customHeight="1">
      <x:c r="A75" s="16" t="str">
        <x:v>ECV2-BUS-014</x:v>
      </x:c>
      <x:c r="B75" s="16" t="str">
        <x:v>NEW</x:v>
      </x:c>
      <x:c r="C75" s="16" t="str">
        <x:v>NEW</x:v>
      </x:c>
      <x:c r="D75" s="16" t="str">
        <x:v>NEW</x:v>
      </x:c>
      <x:c r="E75" s="16" t="str">
        <x:v>Business communication</x:v>
      </x:c>
      <x:c r="F75" s="16" t="str">
        <x:v>Money &amp; the economy</x:v>
      </x:c>
      <x:c r="G75" s="16" t="str">
        <x:v>Customer or stakeholder response</x:v>
      </x:c>
      <x:c r="H75" s="17" t="str">
        <x:v>Explaining a corrected invoice after a duplicate charge</x:v>
      </x:c>
      <x:c r="I75" s="17" t="str">
        <x:v>Resolve or clarify a stakeholder concern through “Explaining a corrected invoice after a duplicate charge”.</x:v>
      </x:c>
      <x:c r="J75" s="17" t="str">
        <x:v>Customers, partners or project stakeholders</x:v>
      </x:c>
      <x:c r="K75" s="17" t="str">
        <x:v>Standard</x:v>
      </x:c>
      <x:c r="L75" s="17" t="str">
        <x:v>200–349 words</x:v>
      </x:c>
      <x:c r="M75" s="17" t="str">
        <x:v>Accessible</x:v>
      </x:c>
      <x:c r="N75" s="17" t="str">
        <x:v>Concise action-oriented business register</x:v>
      </x:c>
      <x:c r="O75" s="17" t="str">
        <x:v>Second person for explicit actions</x:v>
      </x:c>
      <x:c r="P75" s="17" t="str">
        <x:v>Past evidence, present impact and future commitment</x:v>
      </x:c>
      <x:c r="Q75" s="17" t="str">
        <x:v>4 paragraphs: open with a small case before its wider meaning; develop through evidence, counterargument and bounded judgement; close with a concrete next action.</x:v>
      </x:c>
      <x:c r="R75" s="17" t="str">
        <x:v>Include a percentage, currency amount or measurement. Do not add other marked features artificially.</x:v>
      </x:c>
      <x:c r="S75" s="17" t="str">
        <x:v>Do not restate the title; do not open with “Money &amp; the economy is important”, “This article/message/proposal sets out…”, “The following…”, or any legacy family formula.</x:v>
      </x:c>
      <x:c r="T75" s="17" t="str">
        <x:v>No First/Secondly/Finally ladder; avoid stock “moreover/furthermore/another important” transitions; movement must follow evidence, counterargument and bounded judgement.</x:v>
      </x:c>
      <x:c r="U75" s="17" t="str">
        <x:v>Do not use “In conclusion”, “Taken together”, a generic call to action, or a thesis recap; end through a concrete next action.</x:v>
      </x:c>
      <x:c r="V75" s="17" t="str">
        <x:v>Keep lexical and structural distance from paired brief ECV2-BUS-013 (“Requesting a timely budget decision without creating pressure”) and from the same Topic in other genres. Avoid benefits-list prose, institutional boilerplate and substituted-noun variants.</x:v>
      </x:c>
      <x:c r="W75" s="18" t="str">
        <x:v>No</x:v>
      </x:c>
      <x:c r="X75" s="18" t="str">
        <x:v>No</x:v>
      </x:c>
      <x:c r="Y75" s="18" t="str">
        <x:v>Yes</x:v>
      </x:c>
      <x:c r="Z75" s="18" t="str">
        <x:v>No</x:v>
      </x:c>
      <x:c r="AA75" s="18" t="str">
        <x:v>No</x:v>
      </x:c>
      <x:c r="AB75" s="18" t="str">
        <x:v>No</x:v>
      </x:c>
      <x:c r="AC75" s="18" t="str">
        <x:v>No</x:v>
      </x:c>
      <x:c r="AD75" s="18" t="str">
        <x:v>No</x:v>
      </x:c>
      <x:c r="AE75" s="18" t="str">
        <x:v>No</x:v>
      </x:c>
    </x:row>
    <x:row r="76" ht="64" customHeight="1">
      <x:c r="A76" s="16" t="str">
        <x:v>ECV2-BUS-015</x:v>
      </x:c>
      <x:c r="B76" s="16" t="str">
        <x:v>9bce4cff-5c6e-4780-a9ae-78a11e57af71</x:v>
      </x:c>
      <x:c r="C76" s="16" t="str">
        <x:v>A Constructive Response to Public Consultation</x:v>
      </x:c>
      <x:c r="D76" s="16" t="str">
        <x:v>Rewrite completely</x:v>
      </x:c>
      <x:c r="E76" s="16" t="str">
        <x:v>Business communication</x:v>
      </x:c>
      <x:c r="F76" s="16" t="str">
        <x:v>Public services &amp; civic life</x:v>
      </x:c>
      <x:c r="G76" s="16" t="str">
        <x:v>Customer or stakeholder response</x:v>
      </x:c>
      <x:c r="H76" s="17" t="str">
        <x:v>Responding constructively to a public consultation</x:v>
      </x:c>
      <x:c r="I76" s="17" t="str">
        <x:v>Resolve or clarify a stakeholder concern through “Responding constructively to a public consultation”.</x:v>
      </x:c>
      <x:c r="J76" s="17" t="str">
        <x:v>Colleagues and accountable decision-makers</x:v>
      </x:c>
      <x:c r="K76" s="17" t="str">
        <x:v>Extended</x:v>
      </x:c>
      <x:c r="L76" s="17" t="str">
        <x:v>350–500 words</x:v>
      </x:c>
      <x:c r="M76" s="17" t="str">
        <x:v>Challenging</x:v>
      </x:c>
      <x:c r="N76" s="17" t="str">
        <x:v>Calm stakeholder-facing register</x:v>
      </x:c>
      <x:c r="O76" s="17" t="str">
        <x:v>First person singular or plural addressing the recipient</x:v>
      </x:c>
      <x:c r="P76" s="17" t="str">
        <x:v>Present status and future actions</x:v>
      </x:c>
      <x:c r="Q76" s="17" t="str">
        <x:v>7 paragraphs: open with the immediate decision facing the reader; develop through evidence, counterargument and bounded judgement; close with a precise takeaway without recapping every paragraph.</x:v>
      </x:c>
      <x:c r="R76" s="17" t="str">
        <x:v>Include a purposeful direct quotation using straight single quotation marks. Do not add other marked features artificially.</x:v>
      </x:c>
      <x:c r="S76" s="17" t="str">
        <x:v>Do not restate the title; do not open with “Public services &amp; civic life is important”, “This article/message/proposal sets out…”, “The following…”, or any legacy family formula.</x:v>
      </x:c>
      <x:c r="T76" s="17" t="str">
        <x:v>No First/Secondly/Finally ladder; avoid stock “moreover/furthermore/another important” transitions; movement must follow evidence, counterargument and bounded judgement.</x:v>
      </x:c>
      <x:c r="U76" s="17" t="str">
        <x:v>Do not use “In conclusion”, “Taken together”, a generic call to action, or a thesis recap; end through a precise takeaway without recapping every paragraph.</x:v>
      </x:c>
      <x:c r="V76" s="17" t="str">
        <x:v>Keep lexical and structural distance from paired brief ECV2-BUS-016 (“Updating a partner organisation on a grant-reporting milestone”) and from the same Topic in other genres. Avoid benefits-list prose, institutional boilerplate and substituted-noun variants. Do not reuse wording, paragraph order or conclusions from “A Constructive Response to Public Consultation”; its former copy is reference-only.</x:v>
      </x:c>
      <x:c r="W76" s="18" t="str">
        <x:v>No</x:v>
      </x:c>
      <x:c r="X76" s="18" t="str">
        <x:v>No</x:v>
      </x:c>
      <x:c r="Y76" s="18" t="str">
        <x:v>No</x:v>
      </x:c>
      <x:c r="Z76" s="18" t="str">
        <x:v>Yes</x:v>
      </x:c>
      <x:c r="AA76" s="18" t="str">
        <x:v>No</x:v>
      </x:c>
      <x:c r="AB76" s="18" t="str">
        <x:v>No</x:v>
      </x:c>
      <x:c r="AC76" s="18" t="str">
        <x:v>No</x:v>
      </x:c>
      <x:c r="AD76" s="18" t="str">
        <x:v>No</x:v>
      </x:c>
      <x:c r="AE76" s="18" t="str">
        <x:v>No</x:v>
      </x:c>
    </x:row>
    <x:row r="77" ht="64" customHeight="1">
      <x:c r="A77" s="16" t="str">
        <x:v>ECV2-BUS-016</x:v>
      </x:c>
      <x:c r="B77" s="16" t="str">
        <x:v>NEW</x:v>
      </x:c>
      <x:c r="C77" s="16" t="str">
        <x:v>NEW</x:v>
      </x:c>
      <x:c r="D77" s="16" t="str">
        <x:v>NEW</x:v>
      </x:c>
      <x:c r="E77" s="16" t="str">
        <x:v>Business communication</x:v>
      </x:c>
      <x:c r="F77" s="16" t="str">
        <x:v>Public services &amp; civic life</x:v>
      </x:c>
      <x:c r="G77" s="16" t="str">
        <x:v>Progress update</x:v>
      </x:c>
      <x:c r="H77" s="17" t="str">
        <x:v>Updating a partner organisation on a grant-reporting milestone</x:v>
      </x:c>
      <x:c r="I77" s="17" t="str">
        <x:v>Give a concise, evidence-based update through “Updating a partner organisation on a grant-reporting milestone”.</x:v>
      </x:c>
      <x:c r="J77" s="17" t="str">
        <x:v>Customers, partners or project stakeholders</x:v>
      </x:c>
      <x:c r="K77" s="17" t="str">
        <x:v>Standard</x:v>
      </x:c>
      <x:c r="L77" s="17" t="str">
        <x:v>200–349 words</x:v>
      </x:c>
      <x:c r="M77" s="17" t="str">
        <x:v>Challenging</x:v>
      </x:c>
      <x:c r="N77" s="17" t="str">
        <x:v>Direct, courteous professional British English</x:v>
      </x:c>
      <x:c r="O77" s="17" t="str">
        <x:v>Second person for explicit actions</x:v>
      </x:c>
      <x:c r="P77" s="17" t="str">
        <x:v>Past evidence, present impact and future commitment</x:v>
      </x:c>
      <x:c r="Q77" s="17" t="str">
        <x:v>3 paragraphs: open with a consequential detail from a document; develop through evidence, counterargument and bounded judgement; close with a return to the opening image with changed meaning.</x:v>
      </x:c>
      <x:c r="R77" s="17" t="str">
        <x:v>Use at least one contextual Arabic numeral; Use a semicolon naturally. Do not add other marked features artificially.</x:v>
      </x:c>
      <x:c r="S77" s="17" t="str">
        <x:v>Do not restate the title; do not open with “Public services &amp; civic life is important”, “This article/message/proposal sets out…”, “The following…”, or any legacy family formula.</x:v>
      </x:c>
      <x:c r="T77" s="17" t="str">
        <x:v>No First/Secondly/Finally ladder; avoid stock “moreover/furthermore/another important” transitions; movement must follow evidence, counterargument and bounded judgement.</x:v>
      </x:c>
      <x:c r="U77" s="17" t="str">
        <x:v>Do not use “In conclusion”, “Taken together”, a generic call to action, or a thesis recap; end through a return to the opening image with changed meaning.</x:v>
      </x:c>
      <x:c r="V77" s="17" t="str">
        <x:v>Keep lexical and structural distance from paired brief ECV2-BUS-015 (“Responding constructively to a public consultation”) and from the same Topic in other genres. Avoid benefits-list prose, institutional boilerplate and substituted-noun variants.</x:v>
      </x:c>
      <x:c r="W77" s="18" t="str">
        <x:v>Yes</x:v>
      </x:c>
      <x:c r="X77" s="18" t="str">
        <x:v>No</x:v>
      </x:c>
      <x:c r="Y77" s="18" t="str">
        <x:v>No</x:v>
      </x:c>
      <x:c r="Z77" s="18" t="str">
        <x:v>No</x:v>
      </x:c>
      <x:c r="AA77" s="18" t="str">
        <x:v>No</x:v>
      </x:c>
      <x:c r="AB77" s="18" t="str">
        <x:v>Yes</x:v>
      </x:c>
      <x:c r="AC77" s="18" t="str">
        <x:v>No</x:v>
      </x:c>
      <x:c r="AD77" s="18" t="str">
        <x:v>No</x:v>
      </x:c>
      <x:c r="AE77" s="18" t="str">
        <x:v>No</x:v>
      </x:c>
    </x:row>
    <x:row r="78" ht="64" customHeight="1">
      <x:c r="A78" s="16" t="str">
        <x:v>ECV2-BUS-017</x:v>
      </x:c>
      <x:c r="B78" s="16" t="str">
        <x:v>NEW</x:v>
      </x:c>
      <x:c r="C78" s="16" t="str">
        <x:v>NEW</x:v>
      </x:c>
      <x:c r="D78" s="16" t="str">
        <x:v>NEW</x:v>
      </x:c>
      <x:c r="E78" s="16" t="str">
        <x:v>Business communication</x:v>
      </x:c>
      <x:c r="F78" s="16" t="str">
        <x:v>Family, community &amp; relationships</x:v>
      </x:c>
      <x:c r="G78" s="16" t="str">
        <x:v>Risk escalation</x:v>
      </x:c>
      <x:c r="H78" s="17" t="str">
        <x:v>Responding to an employee request for flexible care hours</x:v>
      </x:c>
      <x:c r="I78" s="17" t="str">
        <x:v>Escalate impact, evidence and required action through “Responding to an employee request for flexible care hours”.</x:v>
      </x:c>
      <x:c r="J78" s="17" t="str">
        <x:v>Colleagues and accountable decision-makers</x:v>
      </x:c>
      <x:c r="K78" s="17" t="str">
        <x:v>Standard</x:v>
      </x:c>
      <x:c r="L78" s="17" t="str">
        <x:v>200–349 words</x:v>
      </x:c>
      <x:c r="M78" s="17" t="str">
        <x:v>Challenging</x:v>
      </x:c>
      <x:c r="N78" s="17" t="str">
        <x:v>Concise action-oriented business register</x:v>
      </x:c>
      <x:c r="O78" s="17" t="str">
        <x:v>First person singular or plural addressing the recipient</x:v>
      </x:c>
      <x:c r="P78" s="17" t="str">
        <x:v>Present status and future actions</x:v>
      </x:c>
      <x:c r="Q78" s="17" t="str">
        <x:v>4 paragraphs: open with a time-stamped moment; develop through evidence, counterargument and bounded judgement; close with a final stakeholder voice.</x:v>
      </x:c>
      <x:c r="R78" s="17" t="str">
        <x:v>Include a purposeful direct quotation using straight single quotation marks; Use a colon naturally; Use at least one genuine question. Do not add other marked features artificially.</x:v>
      </x:c>
      <x:c r="S78" s="17" t="str">
        <x:v>Do not restate the title; do not open with “Family, community &amp; relationships is important”, “This article/message/proposal sets out…”, “The following…”, or any legacy family formula.</x:v>
      </x:c>
      <x:c r="T78" s="17" t="str">
        <x:v>No First/Secondly/Finally ladder; avoid stock “moreover/furthermore/another important” transitions; movement must follow evidence, counterargument and bounded judgement.</x:v>
      </x:c>
      <x:c r="U78" s="17" t="str">
        <x:v>Do not use “In conclusion”, “Taken together”, a generic call to action, or a thesis recap; end through a final stakeholder voice.</x:v>
      </x:c>
      <x:c r="V78" s="17" t="str">
        <x:v>Keep lexical and structural distance from paired brief ECV2-BUS-018 (“Handing over volunteer-leave arrangements before an absence”) and from the same Topic in other genres. Avoid benefits-list prose, institutional boilerplate and substituted-noun variants.</x:v>
      </x:c>
      <x:c r="W78" s="18" t="str">
        <x:v>No</x:v>
      </x:c>
      <x:c r="X78" s="18" t="str">
        <x:v>No</x:v>
      </x:c>
      <x:c r="Y78" s="18" t="str">
        <x:v>No</x:v>
      </x:c>
      <x:c r="Z78" s="18" t="str">
        <x:v>Yes</x:v>
      </x:c>
      <x:c r="AA78" s="18" t="str">
        <x:v>Yes</x:v>
      </x:c>
      <x:c r="AB78" s="18" t="str">
        <x:v>No</x:v>
      </x:c>
      <x:c r="AC78" s="18" t="str">
        <x:v>No</x:v>
      </x:c>
      <x:c r="AD78" s="18" t="str">
        <x:v>Yes</x:v>
      </x:c>
      <x:c r="AE78" s="18" t="str">
        <x:v>No</x:v>
      </x:c>
    </x:row>
    <x:row r="79" ht="64" customHeight="1">
      <x:c r="A79" s="16" t="str">
        <x:v>ECV2-BUS-018</x:v>
      </x:c>
      <x:c r="B79" s="16" t="str">
        <x:v>NEW</x:v>
      </x:c>
      <x:c r="C79" s="16" t="str">
        <x:v>NEW</x:v>
      </x:c>
      <x:c r="D79" s="16" t="str">
        <x:v>NEW</x:v>
      </x:c>
      <x:c r="E79" s="16" t="str">
        <x:v>Business communication</x:v>
      </x:c>
      <x:c r="F79" s="16" t="str">
        <x:v>Family, community &amp; relationships</x:v>
      </x:c>
      <x:c r="G79" s="16" t="str">
        <x:v>Handover note</x:v>
      </x:c>
      <x:c r="H79" s="17" t="str">
        <x:v>Handing over volunteer-leave arrangements before an absence</x:v>
      </x:c>
      <x:c r="I79" s="17" t="str">
        <x:v>Transfer ownership and next actions through “Handing over volunteer-leave arrangements before an absence”.</x:v>
      </x:c>
      <x:c r="J79" s="17" t="str">
        <x:v>Customers, partners or project stakeholders</x:v>
      </x:c>
      <x:c r="K79" s="17" t="str">
        <x:v>Standard</x:v>
      </x:c>
      <x:c r="L79" s="17" t="str">
        <x:v>200–349 words</x:v>
      </x:c>
      <x:c r="M79" s="17" t="str">
        <x:v>Core</x:v>
      </x:c>
      <x:c r="N79" s="17" t="str">
        <x:v>Calm stakeholder-facing register</x:v>
      </x:c>
      <x:c r="O79" s="17" t="str">
        <x:v>Second person for explicit actions</x:v>
      </x:c>
      <x:c r="P79" s="17" t="str">
        <x:v>Past evidence, present impact and future commitment</x:v>
      </x:c>
      <x:c r="Q79" s="17" t="str">
        <x:v>5 paragraphs: open with an exception that challenges the usual assumption; develop through evidence, counterargument and bounded judgement; close with a forward time marker.</x:v>
      </x:c>
      <x:c r="R79" s="17" t="str">
        <x:v>Use one necessary parenthetical phrase. Do not add other marked features artificially.</x:v>
      </x:c>
      <x:c r="S79" s="17" t="str">
        <x:v>Do not restate the title; do not open with “Family, community &amp; relationships is important”, “This article/message/proposal sets out…”, “The following…”, or any legacy family formula.</x:v>
      </x:c>
      <x:c r="T79" s="17" t="str">
        <x:v>No First/Secondly/Finally ladder; avoid stock “moreover/furthermore/another important” transitions; movement must follow evidence, counterargument and bounded judgement.</x:v>
      </x:c>
      <x:c r="U79" s="17" t="str">
        <x:v>Do not use “In conclusion”, “Taken together”, a generic call to action, or a thesis recap; end through a forward time marker.</x:v>
      </x:c>
      <x:c r="V79" s="17" t="str">
        <x:v>Keep lexical and structural distance from paired brief ECV2-BUS-017 (“Responding to an employee request for flexible care hours”) and from the same Topic in other genres. Avoid benefits-list prose, institutional boilerplate and substituted-noun variants.</x:v>
      </x:c>
      <x:c r="W79" s="18" t="str">
        <x:v>No</x:v>
      </x:c>
      <x:c r="X79" s="18" t="str">
        <x:v>No</x:v>
      </x:c>
      <x:c r="Y79" s="18" t="str">
        <x:v>No</x:v>
      </x:c>
      <x:c r="Z79" s="18" t="str">
        <x:v>No</x:v>
      </x:c>
      <x:c r="AA79" s="18" t="str">
        <x:v>No</x:v>
      </x:c>
      <x:c r="AB79" s="18" t="str">
        <x:v>No</x:v>
      </x:c>
      <x:c r="AC79" s="18" t="str">
        <x:v>Yes</x:v>
      </x:c>
      <x:c r="AD79" s="18" t="str">
        <x:v>No</x:v>
      </x:c>
      <x:c r="AE79" s="18" t="str">
        <x:v>No</x:v>
      </x:c>
    </x:row>
    <x:row r="80" ht="64" customHeight="1">
      <x:c r="A80" s="16" t="str">
        <x:v>ECV2-BUS-019</x:v>
      </x:c>
      <x:c r="B80" s="16" t="str">
        <x:v>3f611bfe-c197-4708-bbbe-c58be57ff7e6</x:v>
      </x:c>
      <x:c r="C80" s="16" t="str">
        <x:v>Closing a Difficult Customer Complaint</x:v>
      </x:c>
      <x:c r="D80" s="16" t="str">
        <x:v>Rewrite completely</x:v>
      </x:c>
      <x:c r="E80" s="16" t="str">
        <x:v>Business communication</x:v>
      </x:c>
      <x:c r="F80" s="16" t="str">
        <x:v>Culture, leisure &amp; everyday life</x:v>
      </x:c>
      <x:c r="G80" s="16" t="str">
        <x:v>Progress update</x:v>
      </x:c>
      <x:c r="H80" s="17" t="str">
        <x:v>Closing a customer complaint after a documented service failure</x:v>
      </x:c>
      <x:c r="I80" s="17" t="str">
        <x:v>Give a concise, evidence-based update through “Closing a customer complaint after a documented service failure”.</x:v>
      </x:c>
      <x:c r="J80" s="17" t="str">
        <x:v>Colleagues and accountable decision-makers</x:v>
      </x:c>
      <x:c r="K80" s="17" t="str">
        <x:v>Compact</x:v>
      </x:c>
      <x:c r="L80" s="17" t="str">
        <x:v>140–199 words</x:v>
      </x:c>
      <x:c r="M80" s="17" t="str">
        <x:v>Accessible</x:v>
      </x:c>
      <x:c r="N80" s="17" t="str">
        <x:v>Direct, courteous professional British English</x:v>
      </x:c>
      <x:c r="O80" s="17" t="str">
        <x:v>First person singular or plural addressing the recipient</x:v>
      </x:c>
      <x:c r="P80" s="17" t="str">
        <x:v>Present status and future actions</x:v>
      </x:c>
      <x:c r="Q80" s="17" t="str">
        <x:v>2 paragraphs: open with the practical consequence before its cause; develop through evidence, counterargument and bounded judgement; close with the next decision that must be made.</x:v>
      </x:c>
      <x:c r="R80" s="17" t="str">
        <x:v>Include a purposeful direct quotation using straight single quotation marks. Do not add other marked features artificially.</x:v>
      </x:c>
      <x:c r="S80" s="17" t="str">
        <x:v>Do not restate the title; do not open with “Culture, leisure &amp; everyday life is important”, “This article/message/proposal sets out…”, “The following…”, or any legacy family formula.</x:v>
      </x:c>
      <x:c r="T80" s="17" t="str">
        <x:v>No First/Secondly/Finally ladder; avoid stock “moreover/furthermore/another important” transitions; movement must follow evidence, counterargument and bounded judgement.</x:v>
      </x:c>
      <x:c r="U80" s="17" t="str">
        <x:v>Do not use “In conclusion”, “Taken together”, a generic call to action, or a thesis recap; end through the next decision that must be made.</x:v>
      </x:c>
      <x:c r="V80" s="17" t="str">
        <x:v>Keep lexical and structural distance from paired brief ECV2-BUS-020 (“Handing over a venue-booking account before festival season”) and from the same Topic in other genres. Avoid benefits-list prose, institutional boilerplate and substituted-noun variants. Do not reuse wording, paragraph order or conclusions from “Closing a Difficult Customer Complaint”; its former copy is reference-only.</x:v>
      </x:c>
      <x:c r="W80" s="18" t="str">
        <x:v>No</x:v>
      </x:c>
      <x:c r="X80" s="18" t="str">
        <x:v>No</x:v>
      </x:c>
      <x:c r="Y80" s="18" t="str">
        <x:v>No</x:v>
      </x:c>
      <x:c r="Z80" s="18" t="str">
        <x:v>Yes</x:v>
      </x:c>
      <x:c r="AA80" s="18" t="str">
        <x:v>No</x:v>
      </x:c>
      <x:c r="AB80" s="18" t="str">
        <x:v>No</x:v>
      </x:c>
      <x:c r="AC80" s="18" t="str">
        <x:v>No</x:v>
      </x:c>
      <x:c r="AD80" s="18" t="str">
        <x:v>No</x:v>
      </x:c>
      <x:c r="AE80" s="18" t="str">
        <x:v>No</x:v>
      </x:c>
    </x:row>
    <x:row r="81" ht="64" customHeight="1">
      <x:c r="A81" s="16" t="str">
        <x:v>ECV2-BUS-020</x:v>
      </x:c>
      <x:c r="B81" s="16" t="str">
        <x:v>NEW</x:v>
      </x:c>
      <x:c r="C81" s="16" t="str">
        <x:v>NEW</x:v>
      </x:c>
      <x:c r="D81" s="16" t="str">
        <x:v>NEW</x:v>
      </x:c>
      <x:c r="E81" s="16" t="str">
        <x:v>Business communication</x:v>
      </x:c>
      <x:c r="F81" s="16" t="str">
        <x:v>Culture, leisure &amp; everyday life</x:v>
      </x:c>
      <x:c r="G81" s="16" t="str">
        <x:v>Handover note</x:v>
      </x:c>
      <x:c r="H81" s="17" t="str">
        <x:v>Handing over a venue-booking account before festival season</x:v>
      </x:c>
      <x:c r="I81" s="17" t="str">
        <x:v>Transfer ownership and next actions through “Handing over a venue-booking account before festival season”.</x:v>
      </x:c>
      <x:c r="J81" s="17" t="str">
        <x:v>Customers, partners or project stakeholders</x:v>
      </x:c>
      <x:c r="K81" s="17" t="str">
        <x:v>Extended</x:v>
      </x:c>
      <x:c r="L81" s="17" t="str">
        <x:v>350–500 words</x:v>
      </x:c>
      <x:c r="M81" s="17" t="str">
        <x:v>Core</x:v>
      </x:c>
      <x:c r="N81" s="17" t="str">
        <x:v>Concise action-oriented business register</x:v>
      </x:c>
      <x:c r="O81" s="17" t="str">
        <x:v>Second person for explicit actions</x:v>
      </x:c>
      <x:c r="P81" s="17" t="str">
        <x:v>Past evidence, present impact and future commitment</x:v>
      </x:c>
      <x:c r="Q81" s="17" t="str">
        <x:v>6 paragraphs: open with a stakeholder voice; develop through evidence, counterargument and bounded judgement; close with one measurable consequence.</x:v>
      </x:c>
      <x:c r="R81" s="17" t="str">
        <x:v>Use natural full stops, commas and apostrophes; do not add marked punctuation or numbers artificially.</x:v>
      </x:c>
      <x:c r="S81" s="17" t="str">
        <x:v>Do not restate the title; do not open with “Culture, leisure &amp; everyday life is important”, “This article/message/proposal sets out…”, “The following…”, or any legacy family formula.</x:v>
      </x:c>
      <x:c r="T81" s="17" t="str">
        <x:v>No First/Secondly/Finally ladder; avoid stock “moreover/furthermore/another important” transitions; movement must follow evidence, counterargument and bounded judgement.</x:v>
      </x:c>
      <x:c r="U81" s="17" t="str">
        <x:v>Do not use “In conclusion”, “Taken together”, a generic call to action, or a thesis recap; end through one measurable consequence.</x:v>
      </x:c>
      <x:c r="V81" s="17" t="str">
        <x:v>Keep lexical and structural distance from paired brief ECV2-BUS-019 (“Closing a customer complaint after a documented service failure”) and from the same Topic in other genres. Avoid benefits-list prose, institutional boilerplate and substituted-noun variants.</x:v>
      </x:c>
      <x:c r="W81" s="18" t="str">
        <x:v>No</x:v>
      </x:c>
      <x:c r="X81" s="18" t="str">
        <x:v>No</x:v>
      </x:c>
      <x:c r="Y81" s="18" t="str">
        <x:v>No</x:v>
      </x:c>
      <x:c r="Z81" s="18" t="str">
        <x:v>No</x:v>
      </x:c>
      <x:c r="AA81" s="18" t="str">
        <x:v>No</x:v>
      </x:c>
      <x:c r="AB81" s="18" t="str">
        <x:v>No</x:v>
      </x:c>
      <x:c r="AC81" s="18" t="str">
        <x:v>No</x:v>
      </x:c>
      <x:c r="AD81" s="18" t="str">
        <x:v>No</x:v>
      </x:c>
      <x:c r="AE81" s="18" t="str">
        <x:v>No</x:v>
      </x:c>
    </x:row>
    <x:row r="82" ht="64" customHeight="1">
      <x:c r="A82" s="16" t="str">
        <x:v>ECV2-GOV-001</x:v>
      </x:c>
      <x:c r="B82" s="16" t="str">
        <x:v>NEW</x:v>
      </x:c>
      <x:c r="C82" s="16" t="str">
        <x:v>NEW</x:v>
      </x:c>
      <x:c r="D82" s="16" t="str">
        <x:v>NEW</x:v>
      </x:c>
      <x:c r="E82" s="16" t="str">
        <x:v>Government &amp; public information</x:v>
      </x:c>
      <x:c r="F82" s="16" t="str">
        <x:v>Work &amp; organisations</x:v>
      </x:c>
      <x:c r="G82" s="16" t="str">
        <x:v>Service guidance</x:v>
      </x:c>
      <x:c r="H82" s="17" t="str">
        <x:v>Guidance for reporting unsafe working conditions</x:v>
      </x:c>
      <x:c r="I82" s="17" t="str">
        <x:v>Help the public complete or understand the process in “Guidance for reporting unsafe working conditions”.</x:v>
      </x:c>
      <x:c r="J82" s="17" t="str">
        <x:v>Members of the public affected by the service</x:v>
      </x:c>
      <x:c r="K82" s="17" t="str">
        <x:v>Compact</x:v>
      </x:c>
      <x:c r="L82" s="17" t="str">
        <x:v>140–199 words</x:v>
      </x:c>
      <x:c r="M82" s="17" t="str">
        <x:v>Accessible</x:v>
      </x:c>
      <x:c r="N82" s="17" t="str">
        <x:v>Plain public-sector British English</x:v>
      </x:c>
      <x:c r="O82" s="17" t="str">
        <x:v>Institutional third person</x:v>
      </x:c>
      <x:c r="P82" s="17" t="str">
        <x:v>Present rules and future effective dates</x:v>
      </x:c>
      <x:c r="Q82" s="17" t="str">
        <x:v>2 paragraphs: open with a process already in motion; develop through evidence, counterargument and bounded judgement; close with a forward time marker.</x:v>
      </x:c>
      <x:c r="R82" s="17" t="str">
        <x:v>Use a colon naturally. Do not add other marked features artificially.</x:v>
      </x:c>
      <x:c r="S82" s="17" t="str">
        <x:v>Do not restate the title; do not open with “Work &amp; organisations is important”, “This article/message/proposal sets out…”, “The following…”, or any legacy family formula.</x:v>
      </x:c>
      <x:c r="T82" s="17" t="str">
        <x:v>No First/Secondly/Finally ladder; avoid stock “moreover/furthermore/another important” transitions; movement must follow evidence, counterargument and bounded judgement.</x:v>
      </x:c>
      <x:c r="U82" s="17" t="str">
        <x:v>Do not use “In conclusion”, “Taken together”, a generic call to action, or a thesis recap; end through a forward time marker.</x:v>
      </x:c>
      <x:c r="V82" s="17" t="str">
        <x:v>Keep lexical and structural distance from paired brief ECV2-GOV-002 (“A formal summary of a flexible-work pilot in the civil service”) and from the same Topic in other genres. Avoid benefits-list prose, institutional boilerplate and substituted-noun variants.</x:v>
      </x:c>
      <x:c r="W82" s="18" t="str">
        <x:v>No</x:v>
      </x:c>
      <x:c r="X82" s="18" t="str">
        <x:v>No</x:v>
      </x:c>
      <x:c r="Y82" s="18" t="str">
        <x:v>No</x:v>
      </x:c>
      <x:c r="Z82" s="18" t="str">
        <x:v>No</x:v>
      </x:c>
      <x:c r="AA82" s="18" t="str">
        <x:v>Yes</x:v>
      </x:c>
      <x:c r="AB82" s="18" t="str">
        <x:v>No</x:v>
      </x:c>
      <x:c r="AC82" s="18" t="str">
        <x:v>No</x:v>
      </x:c>
      <x:c r="AD82" s="18" t="str">
        <x:v>No</x:v>
      </x:c>
      <x:c r="AE82" s="18" t="str">
        <x:v>No</x:v>
      </x:c>
    </x:row>
    <x:row r="83" ht="64" customHeight="1">
      <x:c r="A83" s="16" t="str">
        <x:v>ECV2-GOV-002</x:v>
      </x:c>
      <x:c r="B83" s="16" t="str">
        <x:v>NEW</x:v>
      </x:c>
      <x:c r="C83" s="16" t="str">
        <x:v>NEW</x:v>
      </x:c>
      <x:c r="D83" s="16" t="str">
        <x:v>NEW</x:v>
      </x:c>
      <x:c r="E83" s="16" t="str">
        <x:v>Government &amp; public information</x:v>
      </x:c>
      <x:c r="F83" s="16" t="str">
        <x:v>Work &amp; organisations</x:v>
      </x:c>
      <x:c r="G83" s="16" t="str">
        <x:v>Formal report summary</x:v>
      </x:c>
      <x:c r="H83" s="17" t="str">
        <x:v>A formal summary of a flexible-work pilot in the civil service</x:v>
      </x:c>
      <x:c r="I83" s="17" t="str">
        <x:v>Summarise findings, limits and follow-up actions through “A formal summary of a flexible-work pilot in the civil service”.</x:v>
      </x:c>
      <x:c r="J83" s="17" t="str">
        <x:v>Policy and service-delivery stakeholders</x:v>
      </x:c>
      <x:c r="K83" s="17" t="str">
        <x:v>Standard</x:v>
      </x:c>
      <x:c r="L83" s="17" t="str">
        <x:v>200–349 words</x:v>
      </x:c>
      <x:c r="M83" s="17" t="str">
        <x:v>Core</x:v>
      </x:c>
      <x:c r="N83" s="17" t="str">
        <x:v>Formal but accessible official register</x:v>
      </x:c>
      <x:c r="O83" s="17" t="str">
        <x:v>Second person for public instructions</x:v>
      </x:c>
      <x:c r="P83" s="17" t="str">
        <x:v>Past evidence, present findings and future review</x:v>
      </x:c>
      <x:c r="Q83" s="17" t="str">
        <x:v>3 paragraphs: open with a corrected misconception; develop through evidence, counterargument and bounded judgement; close with the next decision that must be made.</x:v>
      </x:c>
      <x:c r="R83" s="17" t="str">
        <x:v>Use at least one contextual Arabic numeral; Include a percentage, currency amount or measurement. Do not add other marked features artificially.</x:v>
      </x:c>
      <x:c r="S83" s="17" t="str">
        <x:v>Do not restate the title; do not open with “Work &amp; organisations is important”, “This article/message/proposal sets out…”, “The following…”, or any legacy family formula.</x:v>
      </x:c>
      <x:c r="T83" s="17" t="str">
        <x:v>No First/Secondly/Finally ladder; avoid stock “moreover/furthermore/another important” transitions; movement must follow evidence, counterargument and bounded judgement.</x:v>
      </x:c>
      <x:c r="U83" s="17" t="str">
        <x:v>Do not use “In conclusion”, “Taken together”, a generic call to action, or a thesis recap; end through the next decision that must be made.</x:v>
      </x:c>
      <x:c r="V83" s="17" t="str">
        <x:v>Keep lexical and structural distance from paired brief ECV2-GOV-001 (“Guidance for reporting unsafe working conditions”) and from the same Topic in other genres. Avoid benefits-list prose, institutional boilerplate and substituted-noun variants.</x:v>
      </x:c>
      <x:c r="W83" s="18" t="str">
        <x:v>Yes</x:v>
      </x:c>
      <x:c r="X83" s="18" t="str">
        <x:v>No</x:v>
      </x:c>
      <x:c r="Y83" s="18" t="str">
        <x:v>Yes</x:v>
      </x:c>
      <x:c r="Z83" s="18" t="str">
        <x:v>No</x:v>
      </x:c>
      <x:c r="AA83" s="18" t="str">
        <x:v>No</x:v>
      </x:c>
      <x:c r="AB83" s="18" t="str">
        <x:v>No</x:v>
      </x:c>
      <x:c r="AC83" s="18" t="str">
        <x:v>No</x:v>
      </x:c>
      <x:c r="AD83" s="18" t="str">
        <x:v>No</x:v>
      </x:c>
      <x:c r="AE83" s="18" t="str">
        <x:v>No</x:v>
      </x:c>
    </x:row>
    <x:row r="84" ht="64" customHeight="1">
      <x:c r="A84" s="16" t="str">
        <x:v>ECV2-GOV-003</x:v>
      </x:c>
      <x:c r="B84" s="16" t="str">
        <x:v>cb49ecbe-b752-481f-8a53-b4742085bd99</x:v>
      </x:c>
      <x:c r="C84" s="16" t="str">
        <x:v>Keeping Digital Records Useful</x:v>
      </x:c>
      <x:c r="D84" s="16" t="str">
        <x:v>Expand</x:v>
      </x:c>
      <x:c r="E84" s="16" t="str">
        <x:v>Government &amp; public information</x:v>
      </x:c>
      <x:c r="F84" s="16" t="str">
        <x:v>Technology &amp; digital life</x:v>
      </x:c>
      <x:c r="G84" s="16" t="str">
        <x:v>Service guidance</x:v>
      </x:c>
      <x:c r="H84" s="17" t="str">
        <x:v>Guidance for keeping official digital records findable and trustworthy</x:v>
      </x:c>
      <x:c r="I84" s="17" t="str">
        <x:v>Help the public complete or understand the process in “Guidance for keeping official digital records findable and trustworthy”.</x:v>
      </x:c>
      <x:c r="J84" s="17" t="str">
        <x:v>Members of the public affected by the service</x:v>
      </x:c>
      <x:c r="K84" s="17" t="str">
        <x:v>Standard</x:v>
      </x:c>
      <x:c r="L84" s="17" t="str">
        <x:v>200–349 words</x:v>
      </x:c>
      <x:c r="M84" s="17" t="str">
        <x:v>Core</x:v>
      </x:c>
      <x:c r="N84" s="17" t="str">
        <x:v>Evidence-led policy register</x:v>
      </x:c>
      <x:c r="O84" s="17" t="str">
        <x:v>Impersonal evidence-led voice</x:v>
      </x:c>
      <x:c r="P84" s="17" t="str">
        <x:v>Present rules and future effective dates</x:v>
      </x:c>
      <x:c r="Q84" s="17" t="str">
        <x:v>4 paragraphs: open with one meaningful data point; develop through evidence, counterargument and bounded judgement; close with one measurable consequence.</x:v>
      </x:c>
      <x:c r="R84" s="17" t="str">
        <x:v>Use at least one contextual Arabic numeral. Do not add other marked features artificially.</x:v>
      </x:c>
      <x:c r="S84" s="17" t="str">
        <x:v>Do not restate the title; do not open with “Technology &amp; digital life is important”, “This article/message/proposal sets out…”, “The following…”, or any legacy family formula.</x:v>
      </x:c>
      <x:c r="T84" s="17" t="str">
        <x:v>No First/Secondly/Finally ladder; avoid stock “moreover/furthermore/another important” transitions; movement must follow evidence, counterargument and bounded judgement.</x:v>
      </x:c>
      <x:c r="U84" s="17" t="str">
        <x:v>Do not use “In conclusion”, “Taken together”, a generic call to action, or a thesis recap; end through one measurable consequence.</x:v>
      </x:c>
      <x:c r="V84" s="17" t="str">
        <x:v>Keep lexical and structural distance from paired brief ECV2-GOV-004 (“A public notice explaining changes to online account recovery”) and from the same Topic in other genres. Avoid benefits-list prose, institutional boilerplate and substituted-noun variants. Do not reuse wording, paragraph order or conclusions from “Keeping Digital Records Useful”; its former copy is reference-only.</x:v>
      </x:c>
      <x:c r="W84" s="18" t="str">
        <x:v>Yes</x:v>
      </x:c>
      <x:c r="X84" s="18" t="str">
        <x:v>No</x:v>
      </x:c>
      <x:c r="Y84" s="18" t="str">
        <x:v>No</x:v>
      </x:c>
      <x:c r="Z84" s="18" t="str">
        <x:v>No</x:v>
      </x:c>
      <x:c r="AA84" s="18" t="str">
        <x:v>No</x:v>
      </x:c>
      <x:c r="AB84" s="18" t="str">
        <x:v>No</x:v>
      </x:c>
      <x:c r="AC84" s="18" t="str">
        <x:v>No</x:v>
      </x:c>
      <x:c r="AD84" s="18" t="str">
        <x:v>No</x:v>
      </x:c>
      <x:c r="AE84" s="18" t="str">
        <x:v>No</x:v>
      </x:c>
    </x:row>
    <x:row r="85" ht="64" customHeight="1">
      <x:c r="A85" s="16" t="str">
        <x:v>ECV2-GOV-004</x:v>
      </x:c>
      <x:c r="B85" s="16" t="str">
        <x:v>NEW</x:v>
      </x:c>
      <x:c r="C85" s="16" t="str">
        <x:v>NEW</x:v>
      </x:c>
      <x:c r="D85" s="16" t="str">
        <x:v>NEW</x:v>
      </x:c>
      <x:c r="E85" s="16" t="str">
        <x:v>Government &amp; public information</x:v>
      </x:c>
      <x:c r="F85" s="16" t="str">
        <x:v>Technology &amp; digital life</x:v>
      </x:c>
      <x:c r="G85" s="16" t="str">
        <x:v>Public notice</x:v>
      </x:c>
      <x:c r="H85" s="17" t="str">
        <x:v>A public notice explaining changes to online account recovery</x:v>
      </x:c>
      <x:c r="I85" s="17" t="str">
        <x:v>State the change, affected people, dates and required action in “A public notice explaining changes to online account recovery”.</x:v>
      </x:c>
      <x:c r="J85" s="17" t="str">
        <x:v>Policy and service-delivery stakeholders</x:v>
      </x:c>
      <x:c r="K85" s="17" t="str">
        <x:v>Standard</x:v>
      </x:c>
      <x:c r="L85" s="17" t="str">
        <x:v>200–349 words</x:v>
      </x:c>
      <x:c r="M85" s="17" t="str">
        <x:v>Accessible</x:v>
      </x:c>
      <x:c r="N85" s="17" t="str">
        <x:v>Plain public-sector British English</x:v>
      </x:c>
      <x:c r="O85" s="17" t="str">
        <x:v>Institutional third person</x:v>
      </x:c>
      <x:c r="P85" s="17" t="str">
        <x:v>Past evidence, present findings and future review</x:v>
      </x:c>
      <x:c r="Q85" s="17" t="str">
        <x:v>5 paragraphs: open with a physical place or object; develop through evidence, counterargument and bounded judgement; close with the exception that still needs attention.</x:v>
      </x:c>
      <x:c r="R85" s="17" t="str">
        <x:v>Use a semicolon naturally. Do not add other marked features artificially.</x:v>
      </x:c>
      <x:c r="S85" s="17" t="str">
        <x:v>Do not restate the title; do not open with “Technology &amp; digital life is important”, “This article/message/proposal sets out…”, “The following…”, or any legacy family formula.</x:v>
      </x:c>
      <x:c r="T85" s="17" t="str">
        <x:v>No First/Secondly/Finally ladder; avoid stock “moreover/furthermore/another important” transitions; movement must follow evidence, counterargument and bounded judgement.</x:v>
      </x:c>
      <x:c r="U85" s="17" t="str">
        <x:v>Do not use “In conclusion”, “Taken together”, a generic call to action, or a thesis recap; end through the exception that still needs attention.</x:v>
      </x:c>
      <x:c r="V85" s="17" t="str">
        <x:v>Keep lexical and structural distance from paired brief ECV2-GOV-003 (“Guidance for keeping official digital records findable and trustworthy”) and from the same Topic in other genres. Avoid benefits-list prose, institutional boilerplate and substituted-noun variants.</x:v>
      </x:c>
      <x:c r="W85" s="18" t="str">
        <x:v>No</x:v>
      </x:c>
      <x:c r="X85" s="18" t="str">
        <x:v>No</x:v>
      </x:c>
      <x:c r="Y85" s="18" t="str">
        <x:v>No</x:v>
      </x:c>
      <x:c r="Z85" s="18" t="str">
        <x:v>No</x:v>
      </x:c>
      <x:c r="AA85" s="18" t="str">
        <x:v>No</x:v>
      </x:c>
      <x:c r="AB85" s="18" t="str">
        <x:v>Yes</x:v>
      </x:c>
      <x:c r="AC85" s="18" t="str">
        <x:v>No</x:v>
      </x:c>
      <x:c r="AD85" s="18" t="str">
        <x:v>No</x:v>
      </x:c>
      <x:c r="AE85" s="18" t="str">
        <x:v>No</x:v>
      </x:c>
    </x:row>
    <x:row r="86" ht="64" customHeight="1">
      <x:c r="A86" s="16" t="str">
        <x:v>ECV2-GOV-005</x:v>
      </x:c>
      <x:c r="B86" s="16" t="str">
        <x:v>bc9cc109-e666-4b1b-ad25-60a134a6a3ab</x:v>
      </x:c>
      <x:c r="C86" s="16" t="str">
        <x:v>Preparing Public Services for an Ageing Population</x:v>
      </x:c>
      <x:c r="D86" s="16" t="str">
        <x:v>Rewrite completely</x:v>
      </x:c>
      <x:c r="E86" s="16" t="str">
        <x:v>Government &amp; public information</x:v>
      </x:c>
      <x:c r="F86" s="16" t="str">
        <x:v>Health &amp; wellbeing</x:v>
      </x:c>
      <x:c r="G86" s="16" t="str">
        <x:v>Policy brief</x:v>
      </x:c>
      <x:c r="H86" s="17" t="str">
        <x:v>A policy brief on adapting public services to an ageing population</x:v>
      </x:c>
      <x:c r="I86" s="17" t="str">
        <x:v>Set out evidence, options and trade-offs through “A policy brief on adapting public services to an ageing population”.</x:v>
      </x:c>
      <x:c r="J86" s="17" t="str">
        <x:v>Members of the public affected by the service</x:v>
      </x:c>
      <x:c r="K86" s="17" t="str">
        <x:v>Extended</x:v>
      </x:c>
      <x:c r="L86" s="17" t="str">
        <x:v>350–500 words</x:v>
      </x:c>
      <x:c r="M86" s="17" t="str">
        <x:v>Core</x:v>
      </x:c>
      <x:c r="N86" s="17" t="str">
        <x:v>Formal but accessible official register</x:v>
      </x:c>
      <x:c r="O86" s="17" t="str">
        <x:v>Second person for public instructions</x:v>
      </x:c>
      <x:c r="P86" s="17" t="str">
        <x:v>Present rules and future effective dates</x:v>
      </x:c>
      <x:c r="Q86" s="17" t="str">
        <x:v>5 paragraphs: open with a concrete action already under way; develop through an action sequence interrupted by one complication; close with an unresolved but specific implication.</x:v>
      </x:c>
      <x:c r="R86" s="17" t="str">
        <x:v>Use a colon naturally. Do not add other marked features artificially.</x:v>
      </x:c>
      <x:c r="S86" s="17" t="str">
        <x:v>Do not restate the title; do not open with “Health &amp; wellbeing is important”, “This article/message/proposal sets out…”, “The following…”, or any legacy family formula.</x:v>
      </x:c>
      <x:c r="T86" s="17" t="str">
        <x:v>No First/Secondly/Finally ladder; avoid stock “moreover/furthermore/another important” transitions; movement must follow an action sequence interrupted by one complication.</x:v>
      </x:c>
      <x:c r="U86" s="17" t="str">
        <x:v>Do not use “In conclusion”, “Taken together”, a generic call to action, or a thesis recap; end through an unresolved but specific implication.</x:v>
      </x:c>
      <x:c r="V86" s="17" t="str">
        <x:v>Keep lexical and structural distance from paired brief ECV2-GOV-006 (“A report summary on expanding primary healthcare capacity”) and from the same Topic in other genres. Avoid benefits-list prose, institutional boilerplate and substituted-noun variants. Do not reuse wording, paragraph order or conclusions from “Preparing Public Services for an Ageing Population”; its former copy is reference-only.</x:v>
      </x:c>
      <x:c r="W86" s="18" t="str">
        <x:v>No</x:v>
      </x:c>
      <x:c r="X86" s="18" t="str">
        <x:v>No</x:v>
      </x:c>
      <x:c r="Y86" s="18" t="str">
        <x:v>No</x:v>
      </x:c>
      <x:c r="Z86" s="18" t="str">
        <x:v>No</x:v>
      </x:c>
      <x:c r="AA86" s="18" t="str">
        <x:v>Yes</x:v>
      </x:c>
      <x:c r="AB86" s="18" t="str">
        <x:v>No</x:v>
      </x:c>
      <x:c r="AC86" s="18" t="str">
        <x:v>No</x:v>
      </x:c>
      <x:c r="AD86" s="18" t="str">
        <x:v>No</x:v>
      </x:c>
      <x:c r="AE86" s="18" t="str">
        <x:v>No</x:v>
      </x:c>
    </x:row>
    <x:row r="87" ht="64" customHeight="1">
      <x:c r="A87" s="16" t="str">
        <x:v>ECV2-GOV-006</x:v>
      </x:c>
      <x:c r="B87" s="16" t="str">
        <x:v>64f6857d-fa40-4c71-87be-b133810dd9c9</x:v>
      </x:c>
      <x:c r="C87" s="16" t="str">
        <x:v>Strengthening Primary Healthcare Capacity</x:v>
      </x:c>
      <x:c r="D87" s="16" t="str">
        <x:v>Rewrite completely</x:v>
      </x:c>
      <x:c r="E87" s="16" t="str">
        <x:v>Government &amp; public information</x:v>
      </x:c>
      <x:c r="F87" s="16" t="str">
        <x:v>Health &amp; wellbeing</x:v>
      </x:c>
      <x:c r="G87" s="16" t="str">
        <x:v>Formal report summary</x:v>
      </x:c>
      <x:c r="H87" s="17" t="str">
        <x:v>A report summary on expanding primary healthcare capacity</x:v>
      </x:c>
      <x:c r="I87" s="17" t="str">
        <x:v>Summarise findings, limits and follow-up actions through “A report summary on expanding primary healthcare capacity”.</x:v>
      </x:c>
      <x:c r="J87" s="17" t="str">
        <x:v>Policy and service-delivery stakeholders</x:v>
      </x:c>
      <x:c r="K87" s="17" t="str">
        <x:v>Extended</x:v>
      </x:c>
      <x:c r="L87" s="17" t="str">
        <x:v>350–500 words</x:v>
      </x:c>
      <x:c r="M87" s="17" t="str">
        <x:v>Core</x:v>
      </x:c>
      <x:c r="N87" s="17" t="str">
        <x:v>Evidence-led policy register</x:v>
      </x:c>
      <x:c r="O87" s="17" t="str">
        <x:v>Impersonal evidence-led voice</x:v>
      </x:c>
      <x:c r="P87" s="17" t="str">
        <x:v>Past evidence, present findings and future review</x:v>
      </x:c>
      <x:c r="Q87" s="17" t="str">
        <x:v>6 paragraphs: open with a brief contrast between expectation and result; develop through an action sequence interrupted by one complication; close with a practical boundary rather than a promise.</x:v>
      </x:c>
      <x:c r="R87" s="17" t="str">
        <x:v>Use at least one contextual Arabic numeral; Include a percentage, currency amount or measurement; Use one necessary parenthetical phrase. Do not add other marked features artificially.</x:v>
      </x:c>
      <x:c r="S87" s="17" t="str">
        <x:v>Do not restate the title; do not open with “Health &amp; wellbeing is important”, “This article/message/proposal sets out…”, “The following…”, or any legacy family formula.</x:v>
      </x:c>
      <x:c r="T87" s="17" t="str">
        <x:v>No First/Secondly/Finally ladder; avoid stock “moreover/furthermore/another important” transitions; movement must follow an action sequence interrupted by one complication.</x:v>
      </x:c>
      <x:c r="U87" s="17" t="str">
        <x:v>Do not use “In conclusion”, “Taken together”, a generic call to action, or a thesis recap; end through a practical boundary rather than a promise.</x:v>
      </x:c>
      <x:c r="V87" s="17" t="str">
        <x:v>Keep lexical and structural distance from paired brief ECV2-GOV-005 (“A policy brief on adapting public services to an ageing population”) and from the same Topic in other genres. Avoid benefits-list prose, institutional boilerplate and substituted-noun variants. Do not reuse wording, paragraph order or conclusions from “Strengthening Primary Healthcare Capacity”; its former copy is reference-only.</x:v>
      </x:c>
      <x:c r="W87" s="18" t="str">
        <x:v>Yes</x:v>
      </x:c>
      <x:c r="X87" s="18" t="str">
        <x:v>No</x:v>
      </x:c>
      <x:c r="Y87" s="18" t="str">
        <x:v>Yes</x:v>
      </x:c>
      <x:c r="Z87" s="18" t="str">
        <x:v>No</x:v>
      </x:c>
      <x:c r="AA87" s="18" t="str">
        <x:v>No</x:v>
      </x:c>
      <x:c r="AB87" s="18" t="str">
        <x:v>No</x:v>
      </x:c>
      <x:c r="AC87" s="18" t="str">
        <x:v>Yes</x:v>
      </x:c>
      <x:c r="AD87" s="18" t="str">
        <x:v>No</x:v>
      </x:c>
      <x:c r="AE87" s="18" t="str">
        <x:v>No</x:v>
      </x:c>
    </x:row>
    <x:row r="88" ht="64" customHeight="1">
      <x:c r="A88" s="16" t="str">
        <x:v>ECV2-GOV-007</x:v>
      </x:c>
      <x:c r="B88" s="16" t="str">
        <x:v>NEW</x:v>
      </x:c>
      <x:c r="C88" s="16" t="str">
        <x:v>NEW</x:v>
      </x:c>
      <x:c r="D88" s="16" t="str">
        <x:v>NEW</x:v>
      </x:c>
      <x:c r="E88" s="16" t="str">
        <x:v>Government &amp; public information</x:v>
      </x:c>
      <x:c r="F88" s="16" t="str">
        <x:v>Education &amp; learning</x:v>
      </x:c>
      <x:c r="G88" s="16" t="str">
        <x:v>Consultation summary</x:v>
      </x:c>
      <x:c r="H88" s="17" t="str">
        <x:v>Consultation findings on adult literacy services</x:v>
      </x:c>
      <x:c r="I88" s="17" t="str">
        <x:v>Represent consultation findings and the official response through “Consultation findings on adult literacy services”.</x:v>
      </x:c>
      <x:c r="J88" s="17" t="str">
        <x:v>Members of the public affected by the service</x:v>
      </x:c>
      <x:c r="K88" s="17" t="str">
        <x:v>Standard</x:v>
      </x:c>
      <x:c r="L88" s="17" t="str">
        <x:v>200–349 words</x:v>
      </x:c>
      <x:c r="M88" s="17" t="str">
        <x:v>Core</x:v>
      </x:c>
      <x:c r="N88" s="17" t="str">
        <x:v>Plain public-sector British English</x:v>
      </x:c>
      <x:c r="O88" s="17" t="str">
        <x:v>Institutional third person</x:v>
      </x:c>
      <x:c r="P88" s="17" t="str">
        <x:v>Present rules and future effective dates</x:v>
      </x:c>
      <x:c r="Q88" s="17" t="str">
        <x:v>5 paragraphs: open with one precise observation; develop through an action sequence interrupted by one complication; close with a concrete next action.</x:v>
      </x:c>
      <x:c r="R88" s="17" t="str">
        <x:v>Include a purposeful direct quotation using straight single quotation marks; Use at least one genuine question. Do not add other marked features artificially.</x:v>
      </x:c>
      <x:c r="S88" s="17" t="str">
        <x:v>Do not restate the title; do not open with “Education &amp; learning is important”, “This article/message/proposal sets out…”, “The following…”, or any legacy family formula.</x:v>
      </x:c>
      <x:c r="T88" s="17" t="str">
        <x:v>No First/Secondly/Finally ladder; avoid stock “moreover/furthermore/another important” transitions; movement must follow an action sequence interrupted by one complication.</x:v>
      </x:c>
      <x:c r="U88" s="17" t="str">
        <x:v>Do not use “In conclusion”, “Taken together”, a generic call to action, or a thesis recap; end through a concrete next action.</x:v>
      </x:c>
      <x:c r="V88" s="17" t="str">
        <x:v>Keep lexical and structural distance from paired brief ECV2-GOV-008 (“A public notice setting out the school-admissions timetable”) and from the same Topic in other genres. Avoid benefits-list prose, institutional boilerplate and substituted-noun variants.</x:v>
      </x:c>
      <x:c r="W88" s="18" t="str">
        <x:v>No</x:v>
      </x:c>
      <x:c r="X88" s="18" t="str">
        <x:v>No</x:v>
      </x:c>
      <x:c r="Y88" s="18" t="str">
        <x:v>No</x:v>
      </x:c>
      <x:c r="Z88" s="18" t="str">
        <x:v>Yes</x:v>
      </x:c>
      <x:c r="AA88" s="18" t="str">
        <x:v>No</x:v>
      </x:c>
      <x:c r="AB88" s="18" t="str">
        <x:v>No</x:v>
      </x:c>
      <x:c r="AC88" s="18" t="str">
        <x:v>No</x:v>
      </x:c>
      <x:c r="AD88" s="18" t="str">
        <x:v>Yes</x:v>
      </x:c>
      <x:c r="AE88" s="18" t="str">
        <x:v>No</x:v>
      </x:c>
    </x:row>
    <x:row r="89" ht="64" customHeight="1">
      <x:c r="A89" s="16" t="str">
        <x:v>ECV2-GOV-008</x:v>
      </x:c>
      <x:c r="B89" s="16" t="str">
        <x:v>NEW</x:v>
      </x:c>
      <x:c r="C89" s="16" t="str">
        <x:v>NEW</x:v>
      </x:c>
      <x:c r="D89" s="16" t="str">
        <x:v>NEW</x:v>
      </x:c>
      <x:c r="E89" s="16" t="str">
        <x:v>Government &amp; public information</x:v>
      </x:c>
      <x:c r="F89" s="16" t="str">
        <x:v>Education &amp; learning</x:v>
      </x:c>
      <x:c r="G89" s="16" t="str">
        <x:v>Public notice</x:v>
      </x:c>
      <x:c r="H89" s="17" t="str">
        <x:v>A public notice setting out the school-admissions timetable</x:v>
      </x:c>
      <x:c r="I89" s="17" t="str">
        <x:v>State the change, affected people, dates and required action in “A public notice setting out the school-admissions timetable”.</x:v>
      </x:c>
      <x:c r="J89" s="17" t="str">
        <x:v>Policy and service-delivery stakeholders</x:v>
      </x:c>
      <x:c r="K89" s="17" t="str">
        <x:v>Standard</x:v>
      </x:c>
      <x:c r="L89" s="17" t="str">
        <x:v>200–349 words</x:v>
      </x:c>
      <x:c r="M89" s="17" t="str">
        <x:v>Accessible</x:v>
      </x:c>
      <x:c r="N89" s="17" t="str">
        <x:v>Formal but accessible official register</x:v>
      </x:c>
      <x:c r="O89" s="17" t="str">
        <x:v>Second person for public instructions</x:v>
      </x:c>
      <x:c r="P89" s="17" t="str">
        <x:v>Past evidence, present findings and future review</x:v>
      </x:c>
      <x:c r="Q89" s="17" t="str">
        <x:v>3 paragraphs: open with a small case before its wider meaning; develop through an action sequence interrupted by one complication; close with a precise takeaway without recapping every paragraph.</x:v>
      </x:c>
      <x:c r="R89" s="17" t="str">
        <x:v>Use at least one contextual Arabic numeral; Include a date or time; Use a semicolon naturally. Do not add other marked features artificially.</x:v>
      </x:c>
      <x:c r="S89" s="17" t="str">
        <x:v>Do not restate the title; do not open with “Education &amp; learning is important”, “This article/message/proposal sets out…”, “The following…”, or any legacy family formula.</x:v>
      </x:c>
      <x:c r="T89" s="17" t="str">
        <x:v>No First/Secondly/Finally ladder; avoid stock “moreover/furthermore/another important” transitions; movement must follow an action sequence interrupted by one complication.</x:v>
      </x:c>
      <x:c r="U89" s="17" t="str">
        <x:v>Do not use “In conclusion”, “Taken together”, a generic call to action, or a thesis recap; end through a precise takeaway without recapping every paragraph.</x:v>
      </x:c>
      <x:c r="V89" s="17" t="str">
        <x:v>Keep lexical and structural distance from paired brief ECV2-GOV-007 (“Consultation findings on adult literacy services”) and from the same Topic in other genres. Avoid benefits-list prose, institutional boilerplate and substituted-noun variants.</x:v>
      </x:c>
      <x:c r="W89" s="18" t="str">
        <x:v>Yes</x:v>
      </x:c>
      <x:c r="X89" s="18" t="str">
        <x:v>Yes</x:v>
      </x:c>
      <x:c r="Y89" s="18" t="str">
        <x:v>No</x:v>
      </x:c>
      <x:c r="Z89" s="18" t="str">
        <x:v>No</x:v>
      </x:c>
      <x:c r="AA89" s="18" t="str">
        <x:v>No</x:v>
      </x:c>
      <x:c r="AB89" s="18" t="str">
        <x:v>Yes</x:v>
      </x:c>
      <x:c r="AC89" s="18" t="str">
        <x:v>No</x:v>
      </x:c>
      <x:c r="AD89" s="18" t="str">
        <x:v>No</x:v>
      </x:c>
      <x:c r="AE89" s="18" t="str">
        <x:v>No</x:v>
      </x:c>
    </x:row>
    <x:row r="90" ht="64" customHeight="1">
      <x:c r="A90" s="16" t="str">
        <x:v>ECV2-GOV-009</x:v>
      </x:c>
      <x:c r="B90" s="16" t="str">
        <x:v>fd2dd1c5-a220-4e9b-955a-7e7d1588ec56</x:v>
      </x:c>
      <x:c r="C90" s="16" t="str">
        <x:v>Responsible Land Use for a Dense City</x:v>
      </x:c>
      <x:c r="D90" s="16" t="str">
        <x:v>Rewrite completely</x:v>
      </x:c>
      <x:c r="E90" s="16" t="str">
        <x:v>Government &amp; public information</x:v>
      </x:c>
      <x:c r="F90" s="16" t="str">
        <x:v>Environment &amp; sustainability</x:v>
      </x:c>
      <x:c r="G90" s="16" t="str">
        <x:v>Policy brief</x:v>
      </x:c>
      <x:c r="H90" s="17" t="str">
        <x:v>A policy brief on balancing land uses in a dense city</x:v>
      </x:c>
      <x:c r="I90" s="17" t="str">
        <x:v>Set out evidence, options and trade-offs through “A policy brief on balancing land uses in a dense city”.</x:v>
      </x:c>
      <x:c r="J90" s="17" t="str">
        <x:v>Members of the public affected by the service</x:v>
      </x:c>
      <x:c r="K90" s="17" t="str">
        <x:v>Extended</x:v>
      </x:c>
      <x:c r="L90" s="17" t="str">
        <x:v>350–500 words</x:v>
      </x:c>
      <x:c r="M90" s="17" t="str">
        <x:v>Challenging</x:v>
      </x:c>
      <x:c r="N90" s="17" t="str">
        <x:v>Evidence-led policy register</x:v>
      </x:c>
      <x:c r="O90" s="17" t="str">
        <x:v>Impersonal evidence-led voice</x:v>
      </x:c>
      <x:c r="P90" s="17" t="str">
        <x:v>Present rules and future effective dates</x:v>
      </x:c>
      <x:c r="Q90" s="17" t="str">
        <x:v>6 paragraphs: open with the immediate decision facing the reader; develop through an action sequence interrupted by one complication; close with a return to the opening image with changed meaning.</x:v>
      </x:c>
      <x:c r="R90" s="17" t="str">
        <x:v>Use a colon naturally. Do not add other marked features artificially.</x:v>
      </x:c>
      <x:c r="S90" s="17" t="str">
        <x:v>Do not restate the title; do not open with “Environment &amp; sustainability is important”, “This article/message/proposal sets out…”, “The following…”, or any legacy family formula.</x:v>
      </x:c>
      <x:c r="T90" s="17" t="str">
        <x:v>No First/Secondly/Finally ladder; avoid stock “moreover/furthermore/another important” transitions; movement must follow an action sequence interrupted by one complication.</x:v>
      </x:c>
      <x:c r="U90" s="17" t="str">
        <x:v>Do not use “In conclusion”, “Taken together”, a generic call to action, or a thesis recap; end through a return to the opening image with changed meaning.</x:v>
      </x:c>
      <x:c r="V90" s="17" t="str">
        <x:v>Keep lexical and structural distance from paired brief ECV2-GOV-010 (“Guidance for joining a household food-waste collection service”) and from the same Topic in other genres. Avoid benefits-list prose, institutional boilerplate and substituted-noun variants. Do not reuse wording, paragraph order or conclusions from “Responsible Land Use for a Dense City”; its former copy is reference-only.</x:v>
      </x:c>
      <x:c r="W90" s="18" t="str">
        <x:v>No</x:v>
      </x:c>
      <x:c r="X90" s="18" t="str">
        <x:v>No</x:v>
      </x:c>
      <x:c r="Y90" s="18" t="str">
        <x:v>No</x:v>
      </x:c>
      <x:c r="Z90" s="18" t="str">
        <x:v>No</x:v>
      </x:c>
      <x:c r="AA90" s="18" t="str">
        <x:v>Yes</x:v>
      </x:c>
      <x:c r="AB90" s="18" t="str">
        <x:v>No</x:v>
      </x:c>
      <x:c r="AC90" s="18" t="str">
        <x:v>No</x:v>
      </x:c>
      <x:c r="AD90" s="18" t="str">
        <x:v>No</x:v>
      </x:c>
      <x:c r="AE90" s="18" t="str">
        <x:v>No</x:v>
      </x:c>
    </x:row>
    <x:row r="91" ht="64" customHeight="1">
      <x:c r="A91" s="16" t="str">
        <x:v>ECV2-GOV-010</x:v>
      </x:c>
      <x:c r="B91" s="16" t="str">
        <x:v>NEW</x:v>
      </x:c>
      <x:c r="C91" s="16" t="str">
        <x:v>NEW</x:v>
      </x:c>
      <x:c r="D91" s="16" t="str">
        <x:v>NEW</x:v>
      </x:c>
      <x:c r="E91" s="16" t="str">
        <x:v>Government &amp; public information</x:v>
      </x:c>
      <x:c r="F91" s="16" t="str">
        <x:v>Environment &amp; sustainability</x:v>
      </x:c>
      <x:c r="G91" s="16" t="str">
        <x:v>Service guidance</x:v>
      </x:c>
      <x:c r="H91" s="17" t="str">
        <x:v>Guidance for joining a household food-waste collection service</x:v>
      </x:c>
      <x:c r="I91" s="17" t="str">
        <x:v>Help the public complete or understand the process in “Guidance for joining a household food-waste collection service”.</x:v>
      </x:c>
      <x:c r="J91" s="17" t="str">
        <x:v>Policy and service-delivery stakeholders</x:v>
      </x:c>
      <x:c r="K91" s="17" t="str">
        <x:v>Standard</x:v>
      </x:c>
      <x:c r="L91" s="17" t="str">
        <x:v>200–349 words</x:v>
      </x:c>
      <x:c r="M91" s="17" t="str">
        <x:v>Accessible</x:v>
      </x:c>
      <x:c r="N91" s="17" t="str">
        <x:v>Plain public-sector British English</x:v>
      </x:c>
      <x:c r="O91" s="17" t="str">
        <x:v>Institutional third person</x:v>
      </x:c>
      <x:c r="P91" s="17" t="str">
        <x:v>Past evidence, present findings and future review</x:v>
      </x:c>
      <x:c r="Q91" s="17" t="str">
        <x:v>5 paragraphs: open with a consequential detail from a document; develop through an action sequence interrupted by one complication; close with a final stakeholder voice.</x:v>
      </x:c>
      <x:c r="R91" s="17" t="str">
        <x:v>Use at least one contextual Arabic numeral; Include a date or time. Do not add other marked features artificially.</x:v>
      </x:c>
      <x:c r="S91" s="17" t="str">
        <x:v>Do not restate the title; do not open with “Environment &amp; sustainability is important”, “This article/message/proposal sets out…”, “The following…”, or any legacy family formula.</x:v>
      </x:c>
      <x:c r="T91" s="17" t="str">
        <x:v>No First/Secondly/Finally ladder; avoid stock “moreover/furthermore/another important” transitions; movement must follow an action sequence interrupted by one complication.</x:v>
      </x:c>
      <x:c r="U91" s="17" t="str">
        <x:v>Do not use “In conclusion”, “Taken together”, a generic call to action, or a thesis recap; end through a final stakeholder voice.</x:v>
      </x:c>
      <x:c r="V91" s="17" t="str">
        <x:v>Keep lexical and structural distance from paired brief ECV2-GOV-009 (“A policy brief on balancing land uses in a dense city”) and from the same Topic in other genres. Avoid benefits-list prose, institutional boilerplate and substituted-noun variants.</x:v>
      </x:c>
      <x:c r="W91" s="18" t="str">
        <x:v>Yes</x:v>
      </x:c>
      <x:c r="X91" s="18" t="str">
        <x:v>Yes</x:v>
      </x:c>
      <x:c r="Y91" s="18" t="str">
        <x:v>No</x:v>
      </x:c>
      <x:c r="Z91" s="18" t="str">
        <x:v>No</x:v>
      </x:c>
      <x:c r="AA91" s="18" t="str">
        <x:v>No</x:v>
      </x:c>
      <x:c r="AB91" s="18" t="str">
        <x:v>No</x:v>
      </x:c>
      <x:c r="AC91" s="18" t="str">
        <x:v>No</x:v>
      </x:c>
      <x:c r="AD91" s="18" t="str">
        <x:v>No</x:v>
      </x:c>
      <x:c r="AE91" s="18" t="str">
        <x:v>No</x:v>
      </x:c>
    </x:row>
    <x:row r="92" ht="64" customHeight="1">
      <x:c r="A92" s="16" t="str">
        <x:v>ECV2-GOV-011</x:v>
      </x:c>
      <x:c r="B92" s="16" t="str">
        <x:v>d7591888-42b6-4f9b-89cc-ed5c8ab7d3d2</x:v>
      </x:c>
      <x:c r="C92" s="16" t="str">
        <x:v>Housing Affordability and Secure Renting</x:v>
      </x:c>
      <x:c r="D92" s="16" t="str">
        <x:v>Rewrite completely</x:v>
      </x:c>
      <x:c r="E92" s="16" t="str">
        <x:v>Government &amp; public information</x:v>
      </x:c>
      <x:c r="F92" s="16" t="str">
        <x:v>Transport, housing &amp; places</x:v>
      </x:c>
      <x:c r="G92" s="16" t="str">
        <x:v>Policy brief</x:v>
      </x:c>
      <x:c r="H92" s="17" t="str">
        <x:v>A policy brief on housing affordability and secure renting</x:v>
      </x:c>
      <x:c r="I92" s="17" t="str">
        <x:v>Set out evidence, options and trade-offs through “A policy brief on housing affordability and secure renting”.</x:v>
      </x:c>
      <x:c r="J92" s="17" t="str">
        <x:v>Members of the public affected by the service</x:v>
      </x:c>
      <x:c r="K92" s="17" t="str">
        <x:v>Extended</x:v>
      </x:c>
      <x:c r="L92" s="17" t="str">
        <x:v>350–500 words</x:v>
      </x:c>
      <x:c r="M92" s="17" t="str">
        <x:v>Challenging</x:v>
      </x:c>
      <x:c r="N92" s="17" t="str">
        <x:v>Formal but accessible official register</x:v>
      </x:c>
      <x:c r="O92" s="17" t="str">
        <x:v>Second person for public instructions</x:v>
      </x:c>
      <x:c r="P92" s="17" t="str">
        <x:v>Present rules and future effective dates</x:v>
      </x:c>
      <x:c r="Q92" s="17" t="str">
        <x:v>5 paragraphs: open with a time-stamped moment; develop through an action sequence interrupted by one complication; close with a precise takeaway without recapping every paragraph.</x:v>
      </x:c>
      <x:c r="R92" s="17" t="str">
        <x:v>Use at least one contextual Arabic numeral. Do not add other marked features artificially.</x:v>
      </x:c>
      <x:c r="S92" s="17" t="str">
        <x:v>Do not restate the title; do not open with “Transport, housing &amp; places is important”, “This article/message/proposal sets out…”, “The following…”, or any legacy family formula.</x:v>
      </x:c>
      <x:c r="T92" s="17" t="str">
        <x:v>No First/Secondly/Finally ladder; avoid stock “moreover/furthermore/another important” transitions; movement must follow an action sequence interrupted by one complication.</x:v>
      </x:c>
      <x:c r="U92" s="17" t="str">
        <x:v>Do not use “In conclusion”, “Taken together”, a generic call to action, or a thesis recap; end through a precise takeaway without recapping every paragraph.</x:v>
      </x:c>
      <x:c r="V92" s="17" t="str">
        <x:v>Keep lexical and structural distance from paired brief ECV2-GOV-012 (“A public notice about a temporary pavement closure”) and from the same Topic in other genres. Avoid benefits-list prose, institutional boilerplate and substituted-noun variants. Do not reuse wording, paragraph order or conclusions from “Housing Affordability and Secure Renting”; its former copy is reference-only.</x:v>
      </x:c>
      <x:c r="W92" s="18" t="str">
        <x:v>Yes</x:v>
      </x:c>
      <x:c r="X92" s="18" t="str">
        <x:v>No</x:v>
      </x:c>
      <x:c r="Y92" s="18" t="str">
        <x:v>No</x:v>
      </x:c>
      <x:c r="Z92" s="18" t="str">
        <x:v>No</x:v>
      </x:c>
      <x:c r="AA92" s="18" t="str">
        <x:v>No</x:v>
      </x:c>
      <x:c r="AB92" s="18" t="str">
        <x:v>No</x:v>
      </x:c>
      <x:c r="AC92" s="18" t="str">
        <x:v>No</x:v>
      </x:c>
      <x:c r="AD92" s="18" t="str">
        <x:v>No</x:v>
      </x:c>
      <x:c r="AE92" s="18" t="str">
        <x:v>No</x:v>
      </x:c>
    </x:row>
    <x:row r="93" ht="64" customHeight="1">
      <x:c r="A93" s="16" t="str">
        <x:v>ECV2-GOV-012</x:v>
      </x:c>
      <x:c r="B93" s="16" t="str">
        <x:v>NEW</x:v>
      </x:c>
      <x:c r="C93" s="16" t="str">
        <x:v>NEW</x:v>
      </x:c>
      <x:c r="D93" s="16" t="str">
        <x:v>NEW</x:v>
      </x:c>
      <x:c r="E93" s="16" t="str">
        <x:v>Government &amp; public information</x:v>
      </x:c>
      <x:c r="F93" s="16" t="str">
        <x:v>Transport, housing &amp; places</x:v>
      </x:c>
      <x:c r="G93" s="16" t="str">
        <x:v>Public notice</x:v>
      </x:c>
      <x:c r="H93" s="17" t="str">
        <x:v>A public notice about a temporary pavement closure</x:v>
      </x:c>
      <x:c r="I93" s="17" t="str">
        <x:v>State the change, affected people, dates and required action in “A public notice about a temporary pavement closure”.</x:v>
      </x:c>
      <x:c r="J93" s="17" t="str">
        <x:v>Policy and service-delivery stakeholders</x:v>
      </x:c>
      <x:c r="K93" s="17" t="str">
        <x:v>Standard</x:v>
      </x:c>
      <x:c r="L93" s="17" t="str">
        <x:v>200–349 words</x:v>
      </x:c>
      <x:c r="M93" s="17" t="str">
        <x:v>Core</x:v>
      </x:c>
      <x:c r="N93" s="17" t="str">
        <x:v>Evidence-led policy register</x:v>
      </x:c>
      <x:c r="O93" s="17" t="str">
        <x:v>Impersonal evidence-led voice</x:v>
      </x:c>
      <x:c r="P93" s="17" t="str">
        <x:v>Past evidence, present findings and future review</x:v>
      </x:c>
      <x:c r="Q93" s="17" t="str">
        <x:v>4 paragraphs: open with an exception that challenges the usual assumption; develop through an action sequence interrupted by one complication; close with a return to the opening image with changed meaning.</x:v>
      </x:c>
      <x:c r="R93" s="17" t="str">
        <x:v>Use a semicolon naturally; Use one necessary parenthetical phrase. Do not add other marked features artificially.</x:v>
      </x:c>
      <x:c r="S93" s="17" t="str">
        <x:v>Do not restate the title; do not open with “Transport, housing &amp; places is important”, “This article/message/proposal sets out…”, “The following…”, or any legacy family formula.</x:v>
      </x:c>
      <x:c r="T93" s="17" t="str">
        <x:v>No First/Secondly/Finally ladder; avoid stock “moreover/furthermore/another important” transitions; movement must follow an action sequence interrupted by one complication.</x:v>
      </x:c>
      <x:c r="U93" s="17" t="str">
        <x:v>Do not use “In conclusion”, “Taken together”, a generic call to action, or a thesis recap; end through a return to the opening image with changed meaning.</x:v>
      </x:c>
      <x:c r="V93" s="17" t="str">
        <x:v>Keep lexical and structural distance from paired brief ECV2-GOV-011 (“A policy brief on housing affordability and secure renting”) and from the same Topic in other genres. Avoid benefits-list prose, institutional boilerplate and substituted-noun variants.</x:v>
      </x:c>
      <x:c r="W93" s="18" t="str">
        <x:v>No</x:v>
      </x:c>
      <x:c r="X93" s="18" t="str">
        <x:v>No</x:v>
      </x:c>
      <x:c r="Y93" s="18" t="str">
        <x:v>No</x:v>
      </x:c>
      <x:c r="Z93" s="18" t="str">
        <x:v>No</x:v>
      </x:c>
      <x:c r="AA93" s="18" t="str">
        <x:v>No</x:v>
      </x:c>
      <x:c r="AB93" s="18" t="str">
        <x:v>Yes</x:v>
      </x:c>
      <x:c r="AC93" s="18" t="str">
        <x:v>Yes</x:v>
      </x:c>
      <x:c r="AD93" s="18" t="str">
        <x:v>No</x:v>
      </x:c>
      <x:c r="AE93" s="18" t="str">
        <x:v>No</x:v>
      </x:c>
    </x:row>
    <x:row r="94" ht="64" customHeight="1">
      <x:c r="A94" s="16" t="str">
        <x:v>ECV2-GOV-013</x:v>
      </x:c>
      <x:c r="B94" s="16" t="str">
        <x:v>d800ba7c-e99a-420b-b141-becb16ed2c76</x:v>
      </x:c>
      <x:c r="C94" s="16" t="str">
        <x:v>A Framework for Fiscal Sustainability</x:v>
      </x:c>
      <x:c r="D94" s="16" t="str">
        <x:v>Rewrite completely</x:v>
      </x:c>
      <x:c r="E94" s="16" t="str">
        <x:v>Government &amp; public information</x:v>
      </x:c>
      <x:c r="F94" s="16" t="str">
        <x:v>Money &amp; the economy</x:v>
      </x:c>
      <x:c r="G94" s="16" t="str">
        <x:v>Policy brief</x:v>
      </x:c>
      <x:c r="H94" s="17" t="str">
        <x:v>A policy brief on long-term fiscal sustainability</x:v>
      </x:c>
      <x:c r="I94" s="17" t="str">
        <x:v>Set out evidence, options and trade-offs through “A policy brief on long-term fiscal sustainability”.</x:v>
      </x:c>
      <x:c r="J94" s="17" t="str">
        <x:v>Members of the public affected by the service</x:v>
      </x:c>
      <x:c r="K94" s="17" t="str">
        <x:v>Extended</x:v>
      </x:c>
      <x:c r="L94" s="17" t="str">
        <x:v>350–500 words</x:v>
      </x:c>
      <x:c r="M94" s="17" t="str">
        <x:v>Challenging</x:v>
      </x:c>
      <x:c r="N94" s="17" t="str">
        <x:v>Plain public-sector British English</x:v>
      </x:c>
      <x:c r="O94" s="17" t="str">
        <x:v>Institutional third person</x:v>
      </x:c>
      <x:c r="P94" s="17" t="str">
        <x:v>Present rules and future effective dates</x:v>
      </x:c>
      <x:c r="Q94" s="17" t="str">
        <x:v>7 paragraphs: open with the practical consequence before its cause; develop through an action sequence interrupted by one complication; close with a final stakeholder voice.</x:v>
      </x:c>
      <x:c r="R94" s="17" t="str">
        <x:v>Use at least one contextual Arabic numeral; Include a percentage, currency amount or measurement; Use a colon naturally. Do not add other marked features artificially.</x:v>
      </x:c>
      <x:c r="S94" s="17" t="str">
        <x:v>Do not restate the title; do not open with “Money &amp; the economy is important”, “This article/message/proposal sets out…”, “The following…”, or any legacy family formula.</x:v>
      </x:c>
      <x:c r="T94" s="17" t="str">
        <x:v>No First/Secondly/Finally ladder; avoid stock “moreover/furthermore/another important” transitions; movement must follow an action sequence interrupted by one complication.</x:v>
      </x:c>
      <x:c r="U94" s="17" t="str">
        <x:v>Do not use “In conclusion”, “Taken together”, a generic call to action, or a thesis recap; end through a final stakeholder voice.</x:v>
      </x:c>
      <x:c r="V94" s="17" t="str">
        <x:v>Keep lexical and structural distance from paired brief ECV2-GOV-014 (“Consultation findings on eligibility for local rates relief”) and from the same Topic in other genres. Avoid benefits-list prose, institutional boilerplate and substituted-noun variants. Do not reuse wording, paragraph order or conclusions from “A Framework for Fiscal Sustainability”; its former copy is reference-only.</x:v>
      </x:c>
      <x:c r="W94" s="18" t="str">
        <x:v>Yes</x:v>
      </x:c>
      <x:c r="X94" s="18" t="str">
        <x:v>No</x:v>
      </x:c>
      <x:c r="Y94" s="18" t="str">
        <x:v>Yes</x:v>
      </x:c>
      <x:c r="Z94" s="18" t="str">
        <x:v>No</x:v>
      </x:c>
      <x:c r="AA94" s="18" t="str">
        <x:v>Yes</x:v>
      </x:c>
      <x:c r="AB94" s="18" t="str">
        <x:v>No</x:v>
      </x:c>
      <x:c r="AC94" s="18" t="str">
        <x:v>No</x:v>
      </x:c>
      <x:c r="AD94" s="18" t="str">
        <x:v>No</x:v>
      </x:c>
      <x:c r="AE94" s="18" t="str">
        <x:v>No</x:v>
      </x:c>
    </x:row>
    <x:row r="95" ht="64" customHeight="1">
      <x:c r="A95" s="16" t="str">
        <x:v>ECV2-GOV-014</x:v>
      </x:c>
      <x:c r="B95" s="16" t="str">
        <x:v>NEW</x:v>
      </x:c>
      <x:c r="C95" s="16" t="str">
        <x:v>NEW</x:v>
      </x:c>
      <x:c r="D95" s="16" t="str">
        <x:v>NEW</x:v>
      </x:c>
      <x:c r="E95" s="16" t="str">
        <x:v>Government &amp; public information</x:v>
      </x:c>
      <x:c r="F95" s="16" t="str">
        <x:v>Money &amp; the economy</x:v>
      </x:c>
      <x:c r="G95" s="16" t="str">
        <x:v>Consultation summary</x:v>
      </x:c>
      <x:c r="H95" s="17" t="str">
        <x:v>Consultation findings on eligibility for local rates relief</x:v>
      </x:c>
      <x:c r="I95" s="17" t="str">
        <x:v>Represent consultation findings and the official response through “Consultation findings on eligibility for local rates relief”.</x:v>
      </x:c>
      <x:c r="J95" s="17" t="str">
        <x:v>Policy and service-delivery stakeholders</x:v>
      </x:c>
      <x:c r="K95" s="17" t="str">
        <x:v>Standard</x:v>
      </x:c>
      <x:c r="L95" s="17" t="str">
        <x:v>200–349 words</x:v>
      </x:c>
      <x:c r="M95" s="17" t="str">
        <x:v>Core</x:v>
      </x:c>
      <x:c r="N95" s="17" t="str">
        <x:v>Formal but accessible official register</x:v>
      </x:c>
      <x:c r="O95" s="17" t="str">
        <x:v>Second person for public instructions</x:v>
      </x:c>
      <x:c r="P95" s="17" t="str">
        <x:v>Past evidence, present findings and future review</x:v>
      </x:c>
      <x:c r="Q95" s="17" t="str">
        <x:v>3 paragraphs: open with a stakeholder voice; develop through an action sequence interrupted by one complication; close with a forward time marker.</x:v>
      </x:c>
      <x:c r="R95" s="17" t="str">
        <x:v>Use at least one genuine question. Do not add other marked features artificially.</x:v>
      </x:c>
      <x:c r="S95" s="17" t="str">
        <x:v>Do not restate the title; do not open with “Money &amp; the economy is important”, “This article/message/proposal sets out…”, “The following…”, or any legacy family formula.</x:v>
      </x:c>
      <x:c r="T95" s="17" t="str">
        <x:v>No First/Secondly/Finally ladder; avoid stock “moreover/furthermore/another important” transitions; movement must follow an action sequence interrupted by one complication.</x:v>
      </x:c>
      <x:c r="U95" s="17" t="str">
        <x:v>Do not use “In conclusion”, “Taken together”, a generic call to action, or a thesis recap; end through a forward time marker.</x:v>
      </x:c>
      <x:c r="V95" s="17" t="str">
        <x:v>Keep lexical and structural distance from paired brief ECV2-GOV-013 (“A policy brief on long-term fiscal sustainability”) and from the same Topic in other genres. Avoid benefits-list prose, institutional boilerplate and substituted-noun variants.</x:v>
      </x:c>
      <x:c r="W95" s="18" t="str">
        <x:v>No</x:v>
      </x:c>
      <x:c r="X95" s="18" t="str">
        <x:v>No</x:v>
      </x:c>
      <x:c r="Y95" s="18" t="str">
        <x:v>No</x:v>
      </x:c>
      <x:c r="Z95" s="18" t="str">
        <x:v>No</x:v>
      </x:c>
      <x:c r="AA95" s="18" t="str">
        <x:v>No</x:v>
      </x:c>
      <x:c r="AB95" s="18" t="str">
        <x:v>No</x:v>
      </x:c>
      <x:c r="AC95" s="18" t="str">
        <x:v>No</x:v>
      </x:c>
      <x:c r="AD95" s="18" t="str">
        <x:v>Yes</x:v>
      </x:c>
      <x:c r="AE95" s="18" t="str">
        <x:v>No</x:v>
      </x:c>
    </x:row>
    <x:row r="96" ht="64" customHeight="1">
      <x:c r="A96" s="16" t="str">
        <x:v>ECV2-GOV-015</x:v>
      </x:c>
      <x:c r="B96" s="16" t="str">
        <x:v>3287f915-e590-47dd-8f74-e8c16fb658c3</x:v>
      </x:c>
      <x:c r="C96" s="16" t="str">
        <x:v>A Better Public Notice</x:v>
      </x:c>
      <x:c r="D96" s="16" t="str">
        <x:v>Expand</x:v>
      </x:c>
      <x:c r="E96" s="16" t="str">
        <x:v>Government &amp; public information</x:v>
      </x:c>
      <x:c r="F96" s="16" t="str">
        <x:v>Public services &amp; civic life</x:v>
      </x:c>
      <x:c r="G96" s="16" t="str">
        <x:v>Public notice</x:v>
      </x:c>
      <x:c r="H96" s="17" t="str">
        <x:v>A public notice that places essential actions and deadlines first</x:v>
      </x:c>
      <x:c r="I96" s="17" t="str">
        <x:v>State the change, affected people, dates and required action in “A public notice that places essential actions and deadlines first”.</x:v>
      </x:c>
      <x:c r="J96" s="17" t="str">
        <x:v>Members of the public affected by the service</x:v>
      </x:c>
      <x:c r="K96" s="17" t="str">
        <x:v>Compact</x:v>
      </x:c>
      <x:c r="L96" s="17" t="str">
        <x:v>140–199 words</x:v>
      </x:c>
      <x:c r="M96" s="17" t="str">
        <x:v>Accessible</x:v>
      </x:c>
      <x:c r="N96" s="17" t="str">
        <x:v>Evidence-led policy register</x:v>
      </x:c>
      <x:c r="O96" s="17" t="str">
        <x:v>Impersonal evidence-led voice</x:v>
      </x:c>
      <x:c r="P96" s="17" t="str">
        <x:v>Present rules and future effective dates</x:v>
      </x:c>
      <x:c r="Q96" s="17" t="str">
        <x:v>2 paragraphs: open with a process already in motion; develop through an action sequence interrupted by one complication; close with the next decision that must be made.</x:v>
      </x:c>
      <x:c r="R96" s="17" t="str">
        <x:v>Use natural full stops, commas and apostrophes; do not add marked punctuation or numbers artificially.</x:v>
      </x:c>
      <x:c r="S96" s="17" t="str">
        <x:v>Do not restate the title; do not open with “Public services &amp; civic life is important”, “This article/message/proposal sets out…”, “The following…”, or any legacy family formula.</x:v>
      </x:c>
      <x:c r="T96" s="17" t="str">
        <x:v>No First/Secondly/Finally ladder; avoid stock “moreover/furthermore/another important” transitions; movement must follow an action sequence interrupted by one complication.</x:v>
      </x:c>
      <x:c r="U96" s="17" t="str">
        <x:v>Do not use “In conclusion”, “Taken together”, a generic call to action, or a thesis recap; end through the next decision that must be made.</x:v>
      </x:c>
      <x:c r="V96" s="17" t="str">
        <x:v>Keep lexical and structural distance from paired brief ECV2-GOV-016 (“An annual report summary linking complaints to service improvements”) and from the same Topic in other genres. Avoid benefits-list prose, institutional boilerplate and substituted-noun variants. Do not reuse wording, paragraph order or conclusions from “A Better Public Notice”; its former copy is reference-only.</x:v>
      </x:c>
      <x:c r="W96" s="18" t="str">
        <x:v>No</x:v>
      </x:c>
      <x:c r="X96" s="18" t="str">
        <x:v>No</x:v>
      </x:c>
      <x:c r="Y96" s="18" t="str">
        <x:v>No</x:v>
      </x:c>
      <x:c r="Z96" s="18" t="str">
        <x:v>No</x:v>
      </x:c>
      <x:c r="AA96" s="18" t="str">
        <x:v>No</x:v>
      </x:c>
      <x:c r="AB96" s="18" t="str">
        <x:v>No</x:v>
      </x:c>
      <x:c r="AC96" s="18" t="str">
        <x:v>No</x:v>
      </x:c>
      <x:c r="AD96" s="18" t="str">
        <x:v>No</x:v>
      </x:c>
      <x:c r="AE96" s="18" t="str">
        <x:v>No</x:v>
      </x:c>
    </x:row>
    <x:row r="97" ht="64" customHeight="1">
      <x:c r="A97" s="16" t="str">
        <x:v>ECV2-GOV-016</x:v>
      </x:c>
      <x:c r="B97" s="16" t="str">
        <x:v>NEW</x:v>
      </x:c>
      <x:c r="C97" s="16" t="str">
        <x:v>NEW</x:v>
      </x:c>
      <x:c r="D97" s="16" t="str">
        <x:v>NEW</x:v>
      </x:c>
      <x:c r="E97" s="16" t="str">
        <x:v>Government &amp; public information</x:v>
      </x:c>
      <x:c r="F97" s="16" t="str">
        <x:v>Public services &amp; civic life</x:v>
      </x:c>
      <x:c r="G97" s="16" t="str">
        <x:v>Formal report summary</x:v>
      </x:c>
      <x:c r="H97" s="17" t="str">
        <x:v>An annual report summary linking complaints to service improvements</x:v>
      </x:c>
      <x:c r="I97" s="17" t="str">
        <x:v>Summarise findings, limits and follow-up actions through “An annual report summary linking complaints to service improvements”.</x:v>
      </x:c>
      <x:c r="J97" s="17" t="str">
        <x:v>Policy and service-delivery stakeholders</x:v>
      </x:c>
      <x:c r="K97" s="17" t="str">
        <x:v>Standard</x:v>
      </x:c>
      <x:c r="L97" s="17" t="str">
        <x:v>200–349 words</x:v>
      </x:c>
      <x:c r="M97" s="17" t="str">
        <x:v>Challenging</x:v>
      </x:c>
      <x:c r="N97" s="17" t="str">
        <x:v>Plain public-sector British English</x:v>
      </x:c>
      <x:c r="O97" s="17" t="str">
        <x:v>Institutional third person</x:v>
      </x:c>
      <x:c r="P97" s="17" t="str">
        <x:v>Past evidence, present findings and future review</x:v>
      </x:c>
      <x:c r="Q97" s="17" t="str">
        <x:v>5 paragraphs: open with a corrected misconception; develop through an action sequence interrupted by one complication; close with one measurable consequence.</x:v>
      </x:c>
      <x:c r="R97" s="17" t="str">
        <x:v>Use at least one contextual Arabic numeral; Include a date or time; Include a percentage, currency amount or measurement; Use a semicolon naturally. Do not add other marked features artificially.</x:v>
      </x:c>
      <x:c r="S97" s="17" t="str">
        <x:v>Do not restate the title; do not open with “Public services &amp; civic life is important”, “This article/message/proposal sets out…”, “The following…”, or any legacy family formula.</x:v>
      </x:c>
      <x:c r="T97" s="17" t="str">
        <x:v>No First/Secondly/Finally ladder; avoid stock “moreover/furthermore/another important” transitions; movement must follow an action sequence interrupted by one complication.</x:v>
      </x:c>
      <x:c r="U97" s="17" t="str">
        <x:v>Do not use “In conclusion”, “Taken together”, a generic call to action, or a thesis recap; end through one measurable consequence.</x:v>
      </x:c>
      <x:c r="V97" s="17" t="str">
        <x:v>Keep lexical and structural distance from paired brief ECV2-GOV-015 (“A public notice that places essential actions and deadlines first”) and from the same Topic in other genres. Avoid benefits-list prose, institutional boilerplate and substituted-noun variants.</x:v>
      </x:c>
      <x:c r="W97" s="18" t="str">
        <x:v>Yes</x:v>
      </x:c>
      <x:c r="X97" s="18" t="str">
        <x:v>Yes</x:v>
      </x:c>
      <x:c r="Y97" s="18" t="str">
        <x:v>Yes</x:v>
      </x:c>
      <x:c r="Z97" s="18" t="str">
        <x:v>No</x:v>
      </x:c>
      <x:c r="AA97" s="18" t="str">
        <x:v>No</x:v>
      </x:c>
      <x:c r="AB97" s="18" t="str">
        <x:v>Yes</x:v>
      </x:c>
      <x:c r="AC97" s="18" t="str">
        <x:v>No</x:v>
      </x:c>
      <x:c r="AD97" s="18" t="str">
        <x:v>No</x:v>
      </x:c>
      <x:c r="AE97" s="18" t="str">
        <x:v>No</x:v>
      </x:c>
    </x:row>
    <x:row r="98" ht="64" customHeight="1">
      <x:c r="A98" s="16" t="str">
        <x:v>ECV2-GOV-017</x:v>
      </x:c>
      <x:c r="B98" s="16" t="str">
        <x:v>NEW</x:v>
      </x:c>
      <x:c r="C98" s="16" t="str">
        <x:v>NEW</x:v>
      </x:c>
      <x:c r="D98" s="16" t="str">
        <x:v>NEW</x:v>
      </x:c>
      <x:c r="E98" s="16" t="str">
        <x:v>Government &amp; public information</x:v>
      </x:c>
      <x:c r="F98" s="16" t="str">
        <x:v>Family, community &amp; relationships</x:v>
      </x:c>
      <x:c r="G98" s="16" t="str">
        <x:v>Consultation summary</x:v>
      </x:c>
      <x:c r="H98" s="17" t="str">
        <x:v>Consultation findings on support for kinship carers</x:v>
      </x:c>
      <x:c r="I98" s="17" t="str">
        <x:v>Represent consultation findings and the official response through “Consultation findings on support for kinship carers”.</x:v>
      </x:c>
      <x:c r="J98" s="17" t="str">
        <x:v>Members of the public affected by the service</x:v>
      </x:c>
      <x:c r="K98" s="17" t="str">
        <x:v>Standard</x:v>
      </x:c>
      <x:c r="L98" s="17" t="str">
        <x:v>200–349 words</x:v>
      </x:c>
      <x:c r="M98" s="17" t="str">
        <x:v>Core</x:v>
      </x:c>
      <x:c r="N98" s="17" t="str">
        <x:v>Formal but accessible official register</x:v>
      </x:c>
      <x:c r="O98" s="17" t="str">
        <x:v>Second person for public instructions</x:v>
      </x:c>
      <x:c r="P98" s="17" t="str">
        <x:v>Present rules and future effective dates</x:v>
      </x:c>
      <x:c r="Q98" s="17" t="str">
        <x:v>3 paragraphs: open with one meaningful data point; develop through an action sequence interrupted by one complication; close with the exception that still needs attention.</x:v>
      </x:c>
      <x:c r="R98" s="17" t="str">
        <x:v>Use a colon naturally; Use at least one genuine question. Do not add other marked features artificially.</x:v>
      </x:c>
      <x:c r="S98" s="17" t="str">
        <x:v>Do not restate the title; do not open with “Family, community &amp; relationships is important”, “This article/message/proposal sets out…”, “The following…”, or any legacy family formula.</x:v>
      </x:c>
      <x:c r="T98" s="17" t="str">
        <x:v>No First/Secondly/Finally ladder; avoid stock “moreover/furthermore/another important” transitions; movement must follow an action sequence interrupted by one complication.</x:v>
      </x:c>
      <x:c r="U98" s="17" t="str">
        <x:v>Do not use “In conclusion”, “Taken together”, a generic call to action, or a thesis recap; end through the exception that still needs attention.</x:v>
      </x:c>
      <x:c r="V98" s="17" t="str">
        <x:v>Keep lexical and structural distance from paired brief ECV2-GOV-018 (“Guidance for registering an authorised home-care representative”) and from the same Topic in other genres. Avoid benefits-list prose, institutional boilerplate and substituted-noun variants.</x:v>
      </x:c>
      <x:c r="W98" s="18" t="str">
        <x:v>No</x:v>
      </x:c>
      <x:c r="X98" s="18" t="str">
        <x:v>No</x:v>
      </x:c>
      <x:c r="Y98" s="18" t="str">
        <x:v>No</x:v>
      </x:c>
      <x:c r="Z98" s="18" t="str">
        <x:v>No</x:v>
      </x:c>
      <x:c r="AA98" s="18" t="str">
        <x:v>Yes</x:v>
      </x:c>
      <x:c r="AB98" s="18" t="str">
        <x:v>No</x:v>
      </x:c>
      <x:c r="AC98" s="18" t="str">
        <x:v>No</x:v>
      </x:c>
      <x:c r="AD98" s="18" t="str">
        <x:v>Yes</x:v>
      </x:c>
      <x:c r="AE98" s="18" t="str">
        <x:v>No</x:v>
      </x:c>
    </x:row>
    <x:row r="99" ht="64" customHeight="1">
      <x:c r="A99" s="16" t="str">
        <x:v>ECV2-GOV-018</x:v>
      </x:c>
      <x:c r="B99" s="16" t="str">
        <x:v>NEW</x:v>
      </x:c>
      <x:c r="C99" s="16" t="str">
        <x:v>NEW</x:v>
      </x:c>
      <x:c r="D99" s="16" t="str">
        <x:v>NEW</x:v>
      </x:c>
      <x:c r="E99" s="16" t="str">
        <x:v>Government &amp; public information</x:v>
      </x:c>
      <x:c r="F99" s="16" t="str">
        <x:v>Family, community &amp; relationships</x:v>
      </x:c>
      <x:c r="G99" s="16" t="str">
        <x:v>Service guidance</x:v>
      </x:c>
      <x:c r="H99" s="17" t="str">
        <x:v>Guidance for registering an authorised home-care representative</x:v>
      </x:c>
      <x:c r="I99" s="17" t="str">
        <x:v>Help the public complete or understand the process in “Guidance for registering an authorised home-care representative”.</x:v>
      </x:c>
      <x:c r="J99" s="17" t="str">
        <x:v>Policy and service-delivery stakeholders</x:v>
      </x:c>
      <x:c r="K99" s="17" t="str">
        <x:v>Standard</x:v>
      </x:c>
      <x:c r="L99" s="17" t="str">
        <x:v>200–349 words</x:v>
      </x:c>
      <x:c r="M99" s="17" t="str">
        <x:v>Core</x:v>
      </x:c>
      <x:c r="N99" s="17" t="str">
        <x:v>Evidence-led policy register</x:v>
      </x:c>
      <x:c r="O99" s="17" t="str">
        <x:v>Impersonal evidence-led voice</x:v>
      </x:c>
      <x:c r="P99" s="17" t="str">
        <x:v>Past evidence, present findings and future review</x:v>
      </x:c>
      <x:c r="Q99" s="17" t="str">
        <x:v>4 paragraphs: open with a physical place or object; develop through an action sequence interrupted by one complication; close with an unresolved but specific implication.</x:v>
      </x:c>
      <x:c r="R99" s="17" t="str">
        <x:v>Use one necessary parenthetical phrase. Do not add other marked features artificially.</x:v>
      </x:c>
      <x:c r="S99" s="17" t="str">
        <x:v>Do not restate the title; do not open with “Family, community &amp; relationships is important”, “This article/message/proposal sets out…”, “The following…”, or any legacy family formula.</x:v>
      </x:c>
      <x:c r="T99" s="17" t="str">
        <x:v>No First/Secondly/Finally ladder; avoid stock “moreover/furthermore/another important” transitions; movement must follow an action sequence interrupted by one complication.</x:v>
      </x:c>
      <x:c r="U99" s="17" t="str">
        <x:v>Do not use “In conclusion”, “Taken together”, a generic call to action, or a thesis recap; end through an unresolved but specific implication.</x:v>
      </x:c>
      <x:c r="V99" s="17" t="str">
        <x:v>Keep lexical and structural distance from paired brief ECV2-GOV-017 (“Consultation findings on support for kinship carers”) and from the same Topic in other genres. Avoid benefits-list prose, institutional boilerplate and substituted-noun variants.</x:v>
      </x:c>
      <x:c r="W99" s="18" t="str">
        <x:v>No</x:v>
      </x:c>
      <x:c r="X99" s="18" t="str">
        <x:v>No</x:v>
      </x:c>
      <x:c r="Y99" s="18" t="str">
        <x:v>No</x:v>
      </x:c>
      <x:c r="Z99" s="18" t="str">
        <x:v>No</x:v>
      </x:c>
      <x:c r="AA99" s="18" t="str">
        <x:v>No</x:v>
      </x:c>
      <x:c r="AB99" s="18" t="str">
        <x:v>No</x:v>
      </x:c>
      <x:c r="AC99" s="18" t="str">
        <x:v>Yes</x:v>
      </x:c>
      <x:c r="AD99" s="18" t="str">
        <x:v>No</x:v>
      </x:c>
      <x:c r="AE99" s="18" t="str">
        <x:v>No</x:v>
      </x:c>
    </x:row>
    <x:row r="100" ht="64" customHeight="1">
      <x:c r="A100" s="16" t="str">
        <x:v>ECV2-GOV-019</x:v>
      </x:c>
      <x:c r="B100" s="16" t="str">
        <x:v>NEW</x:v>
      </x:c>
      <x:c r="C100" s="16" t="str">
        <x:v>NEW</x:v>
      </x:c>
      <x:c r="D100" s="16" t="str">
        <x:v>NEW</x:v>
      </x:c>
      <x:c r="E100" s="16" t="str">
        <x:v>Government &amp; public information</x:v>
      </x:c>
      <x:c r="F100" s="16" t="str">
        <x:v>Culture, leisure &amp; everyday life</x:v>
      </x:c>
      <x:c r="G100" s="16" t="str">
        <x:v>Consultation summary</x:v>
      </x:c>
      <x:c r="H100" s="17" t="str">
        <x:v>Consultation findings on late-night venue licensing</x:v>
      </x:c>
      <x:c r="I100" s="17" t="str">
        <x:v>Represent consultation findings and the official response through “Consultation findings on late-night venue licensing”.</x:v>
      </x:c>
      <x:c r="J100" s="17" t="str">
        <x:v>Members of the public affected by the service</x:v>
      </x:c>
      <x:c r="K100" s="17" t="str">
        <x:v>Standard</x:v>
      </x:c>
      <x:c r="L100" s="17" t="str">
        <x:v>200–349 words</x:v>
      </x:c>
      <x:c r="M100" s="17" t="str">
        <x:v>Core</x:v>
      </x:c>
      <x:c r="N100" s="17" t="str">
        <x:v>Plain public-sector British English</x:v>
      </x:c>
      <x:c r="O100" s="17" t="str">
        <x:v>Institutional third person</x:v>
      </x:c>
      <x:c r="P100" s="17" t="str">
        <x:v>Present rules and future effective dates</x:v>
      </x:c>
      <x:c r="Q100" s="17" t="str">
        <x:v>5 paragraphs: open with a concrete action already under way; develop through stakeholders encountered in an intentional order; close with a practical boundary rather than a promise.</x:v>
      </x:c>
      <x:c r="R100" s="17" t="str">
        <x:v>Include a purposeful direct quotation using straight single quotation marks. Do not add other marked features artificially.</x:v>
      </x:c>
      <x:c r="S100" s="17" t="str">
        <x:v>Do not restate the title; do not open with “Culture, leisure &amp; everyday life is important”, “This article/message/proposal sets out…”, “The following…”, or any legacy family formula.</x:v>
      </x:c>
      <x:c r="T100" s="17" t="str">
        <x:v>No First/Secondly/Finally ladder; avoid stock “moreover/furthermore/another important” transitions; movement must follow stakeholders encountered in an intentional order.</x:v>
      </x:c>
      <x:c r="U100" s="17" t="str">
        <x:v>Do not use “In conclusion”, “Taken together”, a generic call to action, or a thesis recap; end through a practical boundary rather than a promise.</x:v>
      </x:c>
      <x:c r="V100" s="17" t="str">
        <x:v>Keep lexical and structural distance from paired brief ECV2-GOV-020 (“A report summary on access to community arts facilities”) and from the same Topic in other genres. Avoid benefits-list prose, institutional boilerplate and substituted-noun variants.</x:v>
      </x:c>
      <x:c r="W100" s="18" t="str">
        <x:v>No</x:v>
      </x:c>
      <x:c r="X100" s="18" t="str">
        <x:v>No</x:v>
      </x:c>
      <x:c r="Y100" s="18" t="str">
        <x:v>No</x:v>
      </x:c>
      <x:c r="Z100" s="18" t="str">
        <x:v>Yes</x:v>
      </x:c>
      <x:c r="AA100" s="18" t="str">
        <x:v>No</x:v>
      </x:c>
      <x:c r="AB100" s="18" t="str">
        <x:v>No</x:v>
      </x:c>
      <x:c r="AC100" s="18" t="str">
        <x:v>No</x:v>
      </x:c>
      <x:c r="AD100" s="18" t="str">
        <x:v>No</x:v>
      </x:c>
      <x:c r="AE100" s="18" t="str">
        <x:v>No</x:v>
      </x:c>
    </x:row>
    <x:row r="101" ht="64" customHeight="1">
      <x:c r="A101" s="16" t="str">
        <x:v>ECV2-GOV-020</x:v>
      </x:c>
      <x:c r="B101" s="16" t="str">
        <x:v>NEW</x:v>
      </x:c>
      <x:c r="C101" s="16" t="str">
        <x:v>NEW</x:v>
      </x:c>
      <x:c r="D101" s="16" t="str">
        <x:v>NEW</x:v>
      </x:c>
      <x:c r="E101" s="16" t="str">
        <x:v>Government &amp; public information</x:v>
      </x:c>
      <x:c r="F101" s="16" t="str">
        <x:v>Culture, leisure &amp; everyday life</x:v>
      </x:c>
      <x:c r="G101" s="16" t="str">
        <x:v>Formal report summary</x:v>
      </x:c>
      <x:c r="H101" s="17" t="str">
        <x:v>A report summary on access to community arts facilities</x:v>
      </x:c>
      <x:c r="I101" s="17" t="str">
        <x:v>Summarise findings, limits and follow-up actions through “A report summary on access to community arts facilities”.</x:v>
      </x:c>
      <x:c r="J101" s="17" t="str">
        <x:v>Policy and service-delivery stakeholders</x:v>
      </x:c>
      <x:c r="K101" s="17" t="str">
        <x:v>Extended</x:v>
      </x:c>
      <x:c r="L101" s="17" t="str">
        <x:v>350–500 words</x:v>
      </x:c>
      <x:c r="M101" s="17" t="str">
        <x:v>Challenging</x:v>
      </x:c>
      <x:c r="N101" s="17" t="str">
        <x:v>Formal but accessible official register</x:v>
      </x:c>
      <x:c r="O101" s="17" t="str">
        <x:v>Second person for public instructions</x:v>
      </x:c>
      <x:c r="P101" s="17" t="str">
        <x:v>Past evidence, present findings and future review</x:v>
      </x:c>
      <x:c r="Q101" s="17" t="str">
        <x:v>5 paragraphs: open with a brief contrast between expectation and result; develop through stakeholders encountered in an intentional order; close with a concrete next action.</x:v>
      </x:c>
      <x:c r="R101" s="17" t="str">
        <x:v>Use natural full stops, commas and apostrophes; do not add marked punctuation or numbers artificially.</x:v>
      </x:c>
      <x:c r="S101" s="17" t="str">
        <x:v>Do not restate the title; do not open with “Culture, leisure &amp; everyday life is important”, “This article/message/proposal sets out…”, “The following…”, or any legacy family formula.</x:v>
      </x:c>
      <x:c r="T101" s="17" t="str">
        <x:v>No First/Secondly/Finally ladder; avoid stock “moreover/furthermore/another important” transitions; movement must follow stakeholders encountered in an intentional order.</x:v>
      </x:c>
      <x:c r="U101" s="17" t="str">
        <x:v>Do not use “In conclusion”, “Taken together”, a generic call to action, or a thesis recap; end through a concrete next action.</x:v>
      </x:c>
      <x:c r="V101" s="17" t="str">
        <x:v>Keep lexical and structural distance from paired brief ECV2-GOV-019 (“Consultation findings on late-night venue licensing”) and from the same Topic in other genres. Avoid benefits-list prose, institutional boilerplate and substituted-noun variants.</x:v>
      </x:c>
      <x:c r="W101" s="18" t="str">
        <x:v>No</x:v>
      </x:c>
      <x:c r="X101" s="18" t="str">
        <x:v>No</x:v>
      </x:c>
      <x:c r="Y101" s="18" t="str">
        <x:v>No</x:v>
      </x:c>
      <x:c r="Z101" s="18" t="str">
        <x:v>No</x:v>
      </x:c>
      <x:c r="AA101" s="18" t="str">
        <x:v>No</x:v>
      </x:c>
      <x:c r="AB101" s="18" t="str">
        <x:v>No</x:v>
      </x:c>
      <x:c r="AC101" s="18" t="str">
        <x:v>No</x:v>
      </x:c>
      <x:c r="AD101" s="18" t="str">
        <x:v>No</x:v>
      </x:c>
      <x:c r="AE101" s="18" t="str">
        <x:v>No</x:v>
      </x:c>
    </x:row>
    <x:row r="102" ht="64" customHeight="1">
      <x:c r="A102" s="16" t="str">
        <x:v>ECV2-PRO-001</x:v>
      </x:c>
      <x:c r="B102" s="16" t="str">
        <x:v>70c4aca3-fe8f-4c24-b8bb-6a712f07b3db</x:v>
      </x:c>
      <x:c r="C102" s="16" t="str">
        <x:v>Designing a Reliable Process</x:v>
      </x:c>
      <x:c r="D102" s="16" t="str">
        <x:v>Expand</x:v>
      </x:c>
      <x:c r="E102" s="16" t="str">
        <x:v>Proposals &amp; tenders</x:v>
      </x:c>
      <x:c r="F102" s="16" t="str">
        <x:v>Work &amp; organisations</x:v>
      </x:c>
      <x:c r="G102" s="16" t="str">
        <x:v>Delivery methodology</x:v>
      </x:c>
      <x:c r="H102" s="17" t="str">
        <x:v>Designing a process whose controls remain visible at every stage</x:v>
      </x:c>
      <x:c r="I102" s="17" t="str">
        <x:v>Define a credible operating method through “Designing a process whose controls remain visible at every stage”.</x:v>
      </x:c>
      <x:c r="J102" s="17" t="str">
        <x:v>Procurement evaluators and service commissioners</x:v>
      </x:c>
      <x:c r="K102" s="17" t="str">
        <x:v>Standard</x:v>
      </x:c>
      <x:c r="L102" s="17" t="str">
        <x:v>200–349 words</x:v>
      </x:c>
      <x:c r="M102" s="17" t="str">
        <x:v>Accessible</x:v>
      </x:c>
      <x:c r="N102" s="17" t="str">
        <x:v>Specific, accountable proposal register</x:v>
      </x:c>
      <x:c r="O102" s="17" t="str">
        <x:v>First person plural for commitments</x:v>
      </x:c>
      <x:c r="P102" s="17" t="str">
        <x:v>Present capability and future commitments</x:v>
      </x:c>
      <x:c r="Q102" s="17" t="str">
        <x:v>4 paragraphs: open with one precise observation; develop through stakeholders encountered in an intentional order; close with an unresolved but specific implication.</x:v>
      </x:c>
      <x:c r="R102" s="17" t="str">
        <x:v>Use a colon naturally. Do not add other marked features artificially.</x:v>
      </x:c>
      <x:c r="S102" s="17" t="str">
        <x:v>Do not restate the title; do not open with “Work &amp; organisations is important”, “This article/message/proposal sets out…”, “The following…”, or any legacy family formula.</x:v>
      </x:c>
      <x:c r="T102" s="17" t="str">
        <x:v>No First/Secondly/Finally ladder; avoid stock “moreover/furthermore/another important” transitions; movement must follow stakeholders encountered in an intentional order.</x:v>
      </x:c>
      <x:c r="U102" s="17" t="str">
        <x:v>Do not use “In conclusion”, “Taken together”, a generic call to action, or a thesis recap; end through an unresolved but specific implication.</x:v>
      </x:c>
      <x:c r="V102" s="17" t="str">
        <x:v>Keep lexical and structural distance from paired brief ECV2-PRO-002 (“A hybrid onboarding service for distributed teams”) and from the same Topic in other genres. Avoid benefits-list prose, institutional boilerplate and substituted-noun variants. Do not reuse wording, paragraph order or conclusions from “Designing a Reliable Process”; its former copy is reference-only.</x:v>
      </x:c>
      <x:c r="W102" s="18" t="str">
        <x:v>No</x:v>
      </x:c>
      <x:c r="X102" s="18" t="str">
        <x:v>No</x:v>
      </x:c>
      <x:c r="Y102" s="18" t="str">
        <x:v>No</x:v>
      </x:c>
      <x:c r="Z102" s="18" t="str">
        <x:v>No</x:v>
      </x:c>
      <x:c r="AA102" s="18" t="str">
        <x:v>Yes</x:v>
      </x:c>
      <x:c r="AB102" s="18" t="str">
        <x:v>No</x:v>
      </x:c>
      <x:c r="AC102" s="18" t="str">
        <x:v>No</x:v>
      </x:c>
      <x:c r="AD102" s="18" t="str">
        <x:v>No</x:v>
      </x:c>
      <x:c r="AE102" s="18" t="str">
        <x:v>No</x:v>
      </x:c>
    </x:row>
    <x:row r="103" ht="64" customHeight="1">
      <x:c r="A103" s="16" t="str">
        <x:v>ECV2-PRO-002</x:v>
      </x:c>
      <x:c r="B103" s="16" t="str">
        <x:v>NEW</x:v>
      </x:c>
      <x:c r="C103" s="16" t="str">
        <x:v>NEW</x:v>
      </x:c>
      <x:c r="D103" s="16" t="str">
        <x:v>NEW</x:v>
      </x:c>
      <x:c r="E103" s="16" t="str">
        <x:v>Proposals &amp; tenders</x:v>
      </x:c>
      <x:c r="F103" s="16" t="str">
        <x:v>Work &amp; organisations</x:v>
      </x:c>
      <x:c r="G103" s="16" t="str">
        <x:v>Implementation plan</x:v>
      </x:c>
      <x:c r="H103" s="17" t="str">
        <x:v>A hybrid onboarding service for distributed teams</x:v>
      </x:c>
      <x:c r="I103" s="17" t="str">
        <x:v>Sequence mobilisation, delivery and handover through “A hybrid onboarding service for distributed teams”.</x:v>
      </x:c>
      <x:c r="J103" s="17" t="str">
        <x:v>Operational sponsors and delivery partners</x:v>
      </x:c>
      <x:c r="K103" s="17" t="str">
        <x:v>Standard</x:v>
      </x:c>
      <x:c r="L103" s="17" t="str">
        <x:v>200–349 words</x:v>
      </x:c>
      <x:c r="M103" s="17" t="str">
        <x:v>Accessible</x:v>
      </x:c>
      <x:c r="N103" s="17" t="str">
        <x:v>Formal procurement British English</x:v>
      </x:c>
      <x:c r="O103" s="17" t="str">
        <x:v>Third person for delivery arrangements</x:v>
      </x:c>
      <x:c r="P103" s="17" t="str">
        <x:v>Future delivery sequence with present controls</x:v>
      </x:c>
      <x:c r="Q103" s="17" t="str">
        <x:v>5 paragraphs: open with a small case before its wider meaning; develop through stakeholders encountered in an intentional order; close with a practical boundary rather than a promise.</x:v>
      </x:c>
      <x:c r="R103" s="17" t="str">
        <x:v>Use at least one contextual Arabic numeral; Include a date or time. Do not add other marked features artificially.</x:v>
      </x:c>
      <x:c r="S103" s="17" t="str">
        <x:v>Do not restate the title; do not open with “Work &amp; organisations is important”, “This article/message/proposal sets out…”, “The following…”, or any legacy family formula.</x:v>
      </x:c>
      <x:c r="T103" s="17" t="str">
        <x:v>No First/Secondly/Finally ladder; avoid stock “moreover/furthermore/another important” transitions; movement must follow stakeholders encountered in an intentional order.</x:v>
      </x:c>
      <x:c r="U103" s="17" t="str">
        <x:v>Do not use “In conclusion”, “Taken together”, a generic call to action, or a thesis recap; end through a practical boundary rather than a promise.</x:v>
      </x:c>
      <x:c r="V103" s="17" t="str">
        <x:v>Keep lexical and structural distance from paired brief ECV2-PRO-001 (“Designing a process whose controls remain visible at every stage”) and from the same Topic in other genres. Avoid benefits-list prose, institutional boilerplate and substituted-noun variants.</x:v>
      </x:c>
      <x:c r="W103" s="18" t="str">
        <x:v>Yes</x:v>
      </x:c>
      <x:c r="X103" s="18" t="str">
        <x:v>Yes</x:v>
      </x:c>
      <x:c r="Y103" s="18" t="str">
        <x:v>No</x:v>
      </x:c>
      <x:c r="Z103" s="18" t="str">
        <x:v>No</x:v>
      </x:c>
      <x:c r="AA103" s="18" t="str">
        <x:v>No</x:v>
      </x:c>
      <x:c r="AB103" s="18" t="str">
        <x:v>No</x:v>
      </x:c>
      <x:c r="AC103" s="18" t="str">
        <x:v>No</x:v>
      </x:c>
      <x:c r="AD103" s="18" t="str">
        <x:v>No</x:v>
      </x:c>
      <x:c r="AE103" s="18" t="str">
        <x:v>No</x:v>
      </x:c>
    </x:row>
    <x:row r="104" ht="64" customHeight="1">
      <x:c r="A104" s="16" t="str">
        <x:v>ECV2-PRO-003</x:v>
      </x:c>
      <x:c r="B104" s="16" t="str">
        <x:v>604ea509-1508-4bf6-8fdb-395928dd754a</x:v>
      </x:c>
      <x:c r="C104" s="16" t="str">
        <x:v>Integrated Transport Data Platform</x:v>
      </x:c>
      <x:c r="D104" s="16" t="str">
        <x:v>Rewrite completely</x:v>
      </x:c>
      <x:c r="E104" s="16" t="str">
        <x:v>Proposals &amp; tenders</x:v>
      </x:c>
      <x:c r="F104" s="16" t="str">
        <x:v>Technology &amp; digital life</x:v>
      </x:c>
      <x:c r="G104" s="16" t="str">
        <x:v>Requirements response</x:v>
      </x:c>
      <x:c r="H104" s="17" t="str">
        <x:v>A shared transport-data platform with controlled access and clear ownership</x:v>
      </x:c>
      <x:c r="I104" s="17" t="str">
        <x:v>Show how stated requirements will be met through “A shared transport-data platform with controlled access and clear ownership”.</x:v>
      </x:c>
      <x:c r="J104" s="17" t="str">
        <x:v>Procurement evaluators and service commissioners</x:v>
      </x:c>
      <x:c r="K104" s="17" t="str">
        <x:v>Extended</x:v>
      </x:c>
      <x:c r="L104" s="17" t="str">
        <x:v>350–500 words</x:v>
      </x:c>
      <x:c r="M104" s="17" t="str">
        <x:v>Challenging</x:v>
      </x:c>
      <x:c r="N104" s="17" t="str">
        <x:v>Operational delivery register</x:v>
      </x:c>
      <x:c r="O104" s="17" t="str">
        <x:v>Mixed first plural and accountable role labels</x:v>
      </x:c>
      <x:c r="P104" s="17" t="str">
        <x:v>Present capability and future commitments</x:v>
      </x:c>
      <x:c r="Q104" s="17" t="str">
        <x:v>5 paragraphs: open with the immediate decision facing the reader; develop through stakeholders encountered in an intentional order; close with a concrete next action.</x:v>
      </x:c>
      <x:c r="R104" s="17" t="str">
        <x:v>Use at least one contextual Arabic numeral; Include a percentage, currency amount or measurement; Include a purposeful direct quotation using straight single quotation marks; Use at least one genuine question. Do not add other marked features artificially.</x:v>
      </x:c>
      <x:c r="S104" s="17" t="str">
        <x:v>Do not restate the title; do not open with “Technology &amp; digital life is important”, “This article/message/proposal sets out…”, “The following…”, or any legacy family formula.</x:v>
      </x:c>
      <x:c r="T104" s="17" t="str">
        <x:v>No First/Secondly/Finally ladder; avoid stock “moreover/furthermore/another important” transitions; movement must follow stakeholders encountered in an intentional order.</x:v>
      </x:c>
      <x:c r="U104" s="17" t="str">
        <x:v>Do not use “In conclusion”, “Taken together”, a generic call to action, or a thesis recap; end through a concrete next action.</x:v>
      </x:c>
      <x:c r="V104" s="17" t="str">
        <x:v>Keep lexical and structural distance from paired brief ECV2-PRO-004 (“A secure digital archive for small charities”) and from the same Topic in other genres. Avoid benefits-list prose, institutional boilerplate and substituted-noun variants. Do not reuse wording, paragraph order or conclusions from “Integrated Transport Data Platform”; its former copy is reference-only.</x:v>
      </x:c>
      <x:c r="W104" s="18" t="str">
        <x:v>Yes</x:v>
      </x:c>
      <x:c r="X104" s="18" t="str">
        <x:v>No</x:v>
      </x:c>
      <x:c r="Y104" s="18" t="str">
        <x:v>Yes</x:v>
      </x:c>
      <x:c r="Z104" s="18" t="str">
        <x:v>Yes</x:v>
      </x:c>
      <x:c r="AA104" s="18" t="str">
        <x:v>No</x:v>
      </x:c>
      <x:c r="AB104" s="18" t="str">
        <x:v>No</x:v>
      </x:c>
      <x:c r="AC104" s="18" t="str">
        <x:v>No</x:v>
      </x:c>
      <x:c r="AD104" s="18" t="str">
        <x:v>Yes</x:v>
      </x:c>
      <x:c r="AE104" s="18" t="str">
        <x:v>No</x:v>
      </x:c>
    </x:row>
    <x:row r="105" ht="64" customHeight="1">
      <x:c r="A105" s="16" t="str">
        <x:v>ECV2-PRO-004</x:v>
      </x:c>
      <x:c r="B105" s="16" t="str">
        <x:v>NEW</x:v>
      </x:c>
      <x:c r="C105" s="16" t="str">
        <x:v>NEW</x:v>
      </x:c>
      <x:c r="D105" s="16" t="str">
        <x:v>NEW</x:v>
      </x:c>
      <x:c r="E105" s="16" t="str">
        <x:v>Proposals &amp; tenders</x:v>
      </x:c>
      <x:c r="F105" s="16" t="str">
        <x:v>Technology &amp; digital life</x:v>
      </x:c>
      <x:c r="G105" s="16" t="str">
        <x:v>Delivery methodology</x:v>
      </x:c>
      <x:c r="H105" s="17" t="str">
        <x:v>A secure digital archive for small charities</x:v>
      </x:c>
      <x:c r="I105" s="17" t="str">
        <x:v>Define a credible operating method through “A secure digital archive for small charities”.</x:v>
      </x:c>
      <x:c r="J105" s="17" t="str">
        <x:v>Operational sponsors and delivery partners</x:v>
      </x:c>
      <x:c r="K105" s="17" t="str">
        <x:v>Standard</x:v>
      </x:c>
      <x:c r="L105" s="17" t="str">
        <x:v>200–349 words</x:v>
      </x:c>
      <x:c r="M105" s="17" t="str">
        <x:v>Accessible</x:v>
      </x:c>
      <x:c r="N105" s="17" t="str">
        <x:v>Specific, accountable proposal register</x:v>
      </x:c>
      <x:c r="O105" s="17" t="str">
        <x:v>First person plural for commitments</x:v>
      </x:c>
      <x:c r="P105" s="17" t="str">
        <x:v>Future delivery sequence with present controls</x:v>
      </x:c>
      <x:c r="Q105" s="17" t="str">
        <x:v>4 paragraphs: open with a consequential detail from a document; develop through stakeholders encountered in an intentional order; close with a precise takeaway without recapping every paragraph.</x:v>
      </x:c>
      <x:c r="R105" s="17" t="str">
        <x:v>Use a semicolon naturally. Do not add other marked features artificially.</x:v>
      </x:c>
      <x:c r="S105" s="17" t="str">
        <x:v>Do not restate the title; do not open with “Technology &amp; digital life is important”, “This article/message/proposal sets out…”, “The following…”, or any legacy family formula.</x:v>
      </x:c>
      <x:c r="T105" s="17" t="str">
        <x:v>No First/Secondly/Finally ladder; avoid stock “moreover/furthermore/another important” transitions; movement must follow stakeholders encountered in an intentional order.</x:v>
      </x:c>
      <x:c r="U105" s="17" t="str">
        <x:v>Do not use “In conclusion”, “Taken together”, a generic call to action, or a thesis recap; end through a precise takeaway without recapping every paragraph.</x:v>
      </x:c>
      <x:c r="V105" s="17" t="str">
        <x:v>Keep lexical and structural distance from paired brief ECV2-PRO-003 (“A shared transport-data platform with controlled access and clear ownership”) and from the same Topic in other genres. Avoid benefits-list prose, institutional boilerplate and substituted-noun variants.</x:v>
      </x:c>
      <x:c r="W105" s="18" t="str">
        <x:v>No</x:v>
      </x:c>
      <x:c r="X105" s="18" t="str">
        <x:v>No</x:v>
      </x:c>
      <x:c r="Y105" s="18" t="str">
        <x:v>No</x:v>
      </x:c>
      <x:c r="Z105" s="18" t="str">
        <x:v>No</x:v>
      </x:c>
      <x:c r="AA105" s="18" t="str">
        <x:v>No</x:v>
      </x:c>
      <x:c r="AB105" s="18" t="str">
        <x:v>Yes</x:v>
      </x:c>
      <x:c r="AC105" s="18" t="str">
        <x:v>No</x:v>
      </x:c>
      <x:c r="AD105" s="18" t="str">
        <x:v>No</x:v>
      </x:c>
      <x:c r="AE105" s="18" t="str">
        <x:v>No</x:v>
      </x:c>
    </x:row>
    <x:row r="106" ht="64" customHeight="1">
      <x:c r="A106" s="16" t="str">
        <x:v>ECV2-PRO-005</x:v>
      </x:c>
      <x:c r="B106" s="16" t="str">
        <x:v>607eff87-49e0-4439-a52a-198daa10a45b</x:v>
      </x:c>
      <x:c r="C106" s="16" t="str">
        <x:v>Community Health Outreach Proposal</x:v>
      </x:c>
      <x:c r="D106" s="16" t="str">
        <x:v>Rewrite completely</x:v>
      </x:c>
      <x:c r="E106" s="16" t="str">
        <x:v>Proposals &amp; tenders</x:v>
      </x:c>
      <x:c r="F106" s="16" t="str">
        <x:v>Health &amp; wellbeing</x:v>
      </x:c>
      <x:c r="G106" s="16" t="str">
        <x:v>Executive summary</x:v>
      </x:c>
      <x:c r="H106" s="17" t="str">
        <x:v>A preventive health outreach service for underserved districts</x:v>
      </x:c>
      <x:c r="I106" s="17" t="str">
        <x:v>Make the case, outcomes and value proposition through “A preventive health outreach service for underserved districts”.</x:v>
      </x:c>
      <x:c r="J106" s="17" t="str">
        <x:v>Procurement evaluators and service commissioners</x:v>
      </x:c>
      <x:c r="K106" s="17" t="str">
        <x:v>Extended</x:v>
      </x:c>
      <x:c r="L106" s="17" t="str">
        <x:v>350–500 words</x:v>
      </x:c>
      <x:c r="M106" s="17" t="str">
        <x:v>Core</x:v>
      </x:c>
      <x:c r="N106" s="17" t="str">
        <x:v>Formal procurement British English</x:v>
      </x:c>
      <x:c r="O106" s="17" t="str">
        <x:v>Third person for delivery arrangements</x:v>
      </x:c>
      <x:c r="P106" s="17" t="str">
        <x:v>Present capability and future commitments</x:v>
      </x:c>
      <x:c r="Q106" s="17" t="str">
        <x:v>7 paragraphs: open with a time-stamped moment; develop through stakeholders encountered in an intentional order; close with a return to the opening image with changed meaning.</x:v>
      </x:c>
      <x:c r="R106" s="17" t="str">
        <x:v>Use at least one contextual Arabic numeral; Use a colon naturally. Do not add other marked features artificially.</x:v>
      </x:c>
      <x:c r="S106" s="17" t="str">
        <x:v>Do not restate the title; do not open with “Health &amp; wellbeing is important”, “This article/message/proposal sets out…”, “The following…”, or any legacy family formula.</x:v>
      </x:c>
      <x:c r="T106" s="17" t="str">
        <x:v>No First/Secondly/Finally ladder; avoid stock “moreover/furthermore/another important” transitions; movement must follow stakeholders encountered in an intentional order.</x:v>
      </x:c>
      <x:c r="U106" s="17" t="str">
        <x:v>Do not use “In conclusion”, “Taken together”, a generic call to action, or a thesis recap; end through a return to the opening image with changed meaning.</x:v>
      </x:c>
      <x:c r="V106" s="17" t="str">
        <x:v>Keep lexical and structural distance from paired brief ECV2-PRO-006 (“A mobile hearing-screening programme for older residents”) and from the same Topic in other genres. Avoid benefits-list prose, institutional boilerplate and substituted-noun variants. Do not reuse wording, paragraph order or conclusions from “Community Health Outreach Proposal”; its former copy is reference-only.</x:v>
      </x:c>
      <x:c r="W106" s="18" t="str">
        <x:v>Yes</x:v>
      </x:c>
      <x:c r="X106" s="18" t="str">
        <x:v>No</x:v>
      </x:c>
      <x:c r="Y106" s="18" t="str">
        <x:v>No</x:v>
      </x:c>
      <x:c r="Z106" s="18" t="str">
        <x:v>No</x:v>
      </x:c>
      <x:c r="AA106" s="18" t="str">
        <x:v>Yes</x:v>
      </x:c>
      <x:c r="AB106" s="18" t="str">
        <x:v>No</x:v>
      </x:c>
      <x:c r="AC106" s="18" t="str">
        <x:v>No</x:v>
      </x:c>
      <x:c r="AD106" s="18" t="str">
        <x:v>No</x:v>
      </x:c>
      <x:c r="AE106" s="18" t="str">
        <x:v>No</x:v>
      </x:c>
    </x:row>
    <x:row r="107" ht="64" customHeight="1">
      <x:c r="A107" s="16" t="str">
        <x:v>ECV2-PRO-006</x:v>
      </x:c>
      <x:c r="B107" s="16" t="str">
        <x:v>NEW</x:v>
      </x:c>
      <x:c r="C107" s="16" t="str">
        <x:v>NEW</x:v>
      </x:c>
      <x:c r="D107" s="16" t="str">
        <x:v>NEW</x:v>
      </x:c>
      <x:c r="E107" s="16" t="str">
        <x:v>Proposals &amp; tenders</x:v>
      </x:c>
      <x:c r="F107" s="16" t="str">
        <x:v>Health &amp; wellbeing</x:v>
      </x:c>
      <x:c r="G107" s="16" t="str">
        <x:v>Implementation plan</x:v>
      </x:c>
      <x:c r="H107" s="17" t="str">
        <x:v>A mobile hearing-screening programme for older residents</x:v>
      </x:c>
      <x:c r="I107" s="17" t="str">
        <x:v>Sequence mobilisation, delivery and handover through “A mobile hearing-screening programme for older residents”.</x:v>
      </x:c>
      <x:c r="J107" s="17" t="str">
        <x:v>Operational sponsors and delivery partners</x:v>
      </x:c>
      <x:c r="K107" s="17" t="str">
        <x:v>Standard</x:v>
      </x:c>
      <x:c r="L107" s="17" t="str">
        <x:v>200–349 words</x:v>
      </x:c>
      <x:c r="M107" s="17" t="str">
        <x:v>Core</x:v>
      </x:c>
      <x:c r="N107" s="17" t="str">
        <x:v>Operational delivery register</x:v>
      </x:c>
      <x:c r="O107" s="17" t="str">
        <x:v>Mixed first plural and accountable role labels</x:v>
      </x:c>
      <x:c r="P107" s="17" t="str">
        <x:v>Future delivery sequence with present controls</x:v>
      </x:c>
      <x:c r="Q107" s="17" t="str">
        <x:v>3 paragraphs: open with an exception that challenges the usual assumption; develop through stakeholders encountered in an intentional order; close with a final stakeholder voice.</x:v>
      </x:c>
      <x:c r="R107" s="17" t="str">
        <x:v>Use one necessary parenthetical phrase. Do not add other marked features artificially.</x:v>
      </x:c>
      <x:c r="S107" s="17" t="str">
        <x:v>Do not restate the title; do not open with “Health &amp; wellbeing is important”, “This article/message/proposal sets out…”, “The following…”, or any legacy family formula.</x:v>
      </x:c>
      <x:c r="T107" s="17" t="str">
        <x:v>No First/Secondly/Finally ladder; avoid stock “moreover/furthermore/another important” transitions; movement must follow stakeholders encountered in an intentional order.</x:v>
      </x:c>
      <x:c r="U107" s="17" t="str">
        <x:v>Do not use “In conclusion”, “Taken together”, a generic call to action, or a thesis recap; end through a final stakeholder voice.</x:v>
      </x:c>
      <x:c r="V107" s="17" t="str">
        <x:v>Keep lexical and structural distance from paired brief ECV2-PRO-005 (“A preventive health outreach service for underserved districts”) and from the same Topic in other genres. Avoid benefits-list prose, institutional boilerplate and substituted-noun variants.</x:v>
      </x:c>
      <x:c r="W107" s="18" t="str">
        <x:v>No</x:v>
      </x:c>
      <x:c r="X107" s="18" t="str">
        <x:v>No</x:v>
      </x:c>
      <x:c r="Y107" s="18" t="str">
        <x:v>No</x:v>
      </x:c>
      <x:c r="Z107" s="18" t="str">
        <x:v>No</x:v>
      </x:c>
      <x:c r="AA107" s="18" t="str">
        <x:v>No</x:v>
      </x:c>
      <x:c r="AB107" s="18" t="str">
        <x:v>No</x:v>
      </x:c>
      <x:c r="AC107" s="18" t="str">
        <x:v>Yes</x:v>
      </x:c>
      <x:c r="AD107" s="18" t="str">
        <x:v>No</x:v>
      </x:c>
      <x:c r="AE107" s="18" t="str">
        <x:v>No</x:v>
      </x:c>
    </x:row>
    <x:row r="108" ht="64" customHeight="1">
      <x:c r="A108" s="16" t="str">
        <x:v>ECV2-PRO-007</x:v>
      </x:c>
      <x:c r="B108" s="16" t="str">
        <x:v>e90fe4d4-05f5-49b6-a492-7c836c2050eb</x:v>
      </x:c>
      <x:c r="C108" s="16" t="str">
        <x:v>Workforce Reskilling Partnership</x:v>
      </x:c>
      <x:c r="D108" s="16" t="str">
        <x:v>Rewrite completely</x:v>
      </x:c>
      <x:c r="E108" s="16" t="str">
        <x:v>Proposals &amp; tenders</x:v>
      </x:c>
      <x:c r="F108" s="16" t="str">
        <x:v>Education &amp; learning</x:v>
      </x:c>
      <x:c r="G108" s="16" t="str">
        <x:v>Executive summary</x:v>
      </x:c>
      <x:c r="H108" s="17" t="str">
        <x:v>A reskilling partnership for experienced workers entering growing industries</x:v>
      </x:c>
      <x:c r="I108" s="17" t="str">
        <x:v>Make the case, outcomes and value proposition through “A reskilling partnership for experienced workers entering growing industries”.</x:v>
      </x:c>
      <x:c r="J108" s="17" t="str">
        <x:v>Procurement evaluators and service commissioners</x:v>
      </x:c>
      <x:c r="K108" s="17" t="str">
        <x:v>Extended</x:v>
      </x:c>
      <x:c r="L108" s="17" t="str">
        <x:v>350–500 words</x:v>
      </x:c>
      <x:c r="M108" s="17" t="str">
        <x:v>Core</x:v>
      </x:c>
      <x:c r="N108" s="17" t="str">
        <x:v>Specific, accountable proposal register</x:v>
      </x:c>
      <x:c r="O108" s="17" t="str">
        <x:v>First person plural for commitments</x:v>
      </x:c>
      <x:c r="P108" s="17" t="str">
        <x:v>Present capability and future commitments</x:v>
      </x:c>
      <x:c r="Q108" s="17" t="str">
        <x:v>6 paragraphs: open with the practical consequence before its cause; develop through stakeholders encountered in an intentional order; close with a forward time marker.</x:v>
      </x:c>
      <x:c r="R108" s="17" t="str">
        <x:v>Use at least one genuine question. Do not add other marked features artificially.</x:v>
      </x:c>
      <x:c r="S108" s="17" t="str">
        <x:v>Do not restate the title; do not open with “Education &amp; learning is important”, “This article/message/proposal sets out…”, “The following…”, or any legacy family formula.</x:v>
      </x:c>
      <x:c r="T108" s="17" t="str">
        <x:v>No First/Secondly/Finally ladder; avoid stock “moreover/furthermore/another important” transitions; movement must follow stakeholders encountered in an intentional order.</x:v>
      </x:c>
      <x:c r="U108" s="17" t="str">
        <x:v>Do not use “In conclusion”, “Taken together”, a generic call to action, or a thesis recap; end through a forward time marker.</x:v>
      </x:c>
      <x:c r="V108" s="17" t="str">
        <x:v>Keep lexical and structural distance from paired brief ECV2-PRO-008 (“Library-based adult numeracy workshops”) and from the same Topic in other genres. Avoid benefits-list prose, institutional boilerplate and substituted-noun variants. Do not reuse wording, paragraph order or conclusions from “Workforce Reskilling Partnership”; its former copy is reference-only.</x:v>
      </x:c>
      <x:c r="W108" s="18" t="str">
        <x:v>No</x:v>
      </x:c>
      <x:c r="X108" s="18" t="str">
        <x:v>No</x:v>
      </x:c>
      <x:c r="Y108" s="18" t="str">
        <x:v>No</x:v>
      </x:c>
      <x:c r="Z108" s="18" t="str">
        <x:v>No</x:v>
      </x:c>
      <x:c r="AA108" s="18" t="str">
        <x:v>No</x:v>
      </x:c>
      <x:c r="AB108" s="18" t="str">
        <x:v>No</x:v>
      </x:c>
      <x:c r="AC108" s="18" t="str">
        <x:v>No</x:v>
      </x:c>
      <x:c r="AD108" s="18" t="str">
        <x:v>Yes</x:v>
      </x:c>
      <x:c r="AE108" s="18" t="str">
        <x:v>No</x:v>
      </x:c>
    </x:row>
    <x:row r="109" ht="64" customHeight="1">
      <x:c r="A109" s="16" t="str">
        <x:v>ECV2-PRO-008</x:v>
      </x:c>
      <x:c r="B109" s="16" t="str">
        <x:v>NEW</x:v>
      </x:c>
      <x:c r="C109" s="16" t="str">
        <x:v>NEW</x:v>
      </x:c>
      <x:c r="D109" s="16" t="str">
        <x:v>NEW</x:v>
      </x:c>
      <x:c r="E109" s="16" t="str">
        <x:v>Proposals &amp; tenders</x:v>
      </x:c>
      <x:c r="F109" s="16" t="str">
        <x:v>Education &amp; learning</x:v>
      </x:c>
      <x:c r="G109" s="16" t="str">
        <x:v>Delivery methodology</x:v>
      </x:c>
      <x:c r="H109" s="17" t="str">
        <x:v>Library-based adult numeracy workshops</x:v>
      </x:c>
      <x:c r="I109" s="17" t="str">
        <x:v>Define a credible operating method through “Library-based adult numeracy workshops”.</x:v>
      </x:c>
      <x:c r="J109" s="17" t="str">
        <x:v>Operational sponsors and delivery partners</x:v>
      </x:c>
      <x:c r="K109" s="17" t="str">
        <x:v>Standard</x:v>
      </x:c>
      <x:c r="L109" s="17" t="str">
        <x:v>200–349 words</x:v>
      </x:c>
      <x:c r="M109" s="17" t="str">
        <x:v>Core</x:v>
      </x:c>
      <x:c r="N109" s="17" t="str">
        <x:v>Formal procurement British English</x:v>
      </x:c>
      <x:c r="O109" s="17" t="str">
        <x:v>Third person for delivery arrangements</x:v>
      </x:c>
      <x:c r="P109" s="17" t="str">
        <x:v>Future delivery sequence with present controls</x:v>
      </x:c>
      <x:c r="Q109" s="17" t="str">
        <x:v>5 paragraphs: open with a stakeholder voice; develop through stakeholders encountered in an intentional order; close with the next decision that must be made.</x:v>
      </x:c>
      <x:c r="R109" s="17" t="str">
        <x:v>Use a semicolon naturally. Do not add other marked features artificially.</x:v>
      </x:c>
      <x:c r="S109" s="17" t="str">
        <x:v>Do not restate the title; do not open with “Education &amp; learning is important”, “This article/message/proposal sets out…”, “The following…”, or any legacy family formula.</x:v>
      </x:c>
      <x:c r="T109" s="17" t="str">
        <x:v>No First/Secondly/Finally ladder; avoid stock “moreover/furthermore/another important” transitions; movement must follow stakeholders encountered in an intentional order.</x:v>
      </x:c>
      <x:c r="U109" s="17" t="str">
        <x:v>Do not use “In conclusion”, “Taken together”, a generic call to action, or a thesis recap; end through the next decision that must be made.</x:v>
      </x:c>
      <x:c r="V109" s="17" t="str">
        <x:v>Keep lexical and structural distance from paired brief ECV2-PRO-007 (“A reskilling partnership for experienced workers entering growing industries”) and from the same Topic in other genres. Avoid benefits-list prose, institutional boilerplate and substituted-noun variants.</x:v>
      </x:c>
      <x:c r="W109" s="18" t="str">
        <x:v>No</x:v>
      </x:c>
      <x:c r="X109" s="18" t="str">
        <x:v>No</x:v>
      </x:c>
      <x:c r="Y109" s="18" t="str">
        <x:v>No</x:v>
      </x:c>
      <x:c r="Z109" s="18" t="str">
        <x:v>No</x:v>
      </x:c>
      <x:c r="AA109" s="18" t="str">
        <x:v>No</x:v>
      </x:c>
      <x:c r="AB109" s="18" t="str">
        <x:v>Yes</x:v>
      </x:c>
      <x:c r="AC109" s="18" t="str">
        <x:v>No</x:v>
      </x:c>
      <x:c r="AD109" s="18" t="str">
        <x:v>No</x:v>
      </x:c>
      <x:c r="AE109" s="18" t="str">
        <x:v>No</x:v>
      </x:c>
    </x:row>
    <x:row r="110" ht="64" customHeight="1">
      <x:c r="A110" s="16" t="str">
        <x:v>ECV2-PRO-009</x:v>
      </x:c>
      <x:c r="B110" s="16" t="str">
        <x:v>f0add780-3d92-4dca-8c99-c19173a8b6fe</x:v>
      </x:c>
      <x:c r="C110" s="16" t="str">
        <x:v>Circular Logistics and Recycling Service</x:v>
      </x:c>
      <x:c r="D110" s="16" t="str">
        <x:v>Rewrite completely</x:v>
      </x:c>
      <x:c r="E110" s="16" t="str">
        <x:v>Proposals &amp; tenders</x:v>
      </x:c>
      <x:c r="F110" s="16" t="str">
        <x:v>Environment &amp; sustainability</x:v>
      </x:c>
      <x:c r="G110" s="16" t="str">
        <x:v>Delivery methodology</x:v>
      </x:c>
      <x:c r="H110" s="17" t="str">
        <x:v>A city-wide circular logistics and recycling service</x:v>
      </x:c>
      <x:c r="I110" s="17" t="str">
        <x:v>Define a credible operating method through “A city-wide circular logistics and recycling service”.</x:v>
      </x:c>
      <x:c r="J110" s="17" t="str">
        <x:v>Procurement evaluators and service commissioners</x:v>
      </x:c>
      <x:c r="K110" s="17" t="str">
        <x:v>Extended</x:v>
      </x:c>
      <x:c r="L110" s="17" t="str">
        <x:v>350–500 words</x:v>
      </x:c>
      <x:c r="M110" s="17" t="str">
        <x:v>Challenging</x:v>
      </x:c>
      <x:c r="N110" s="17" t="str">
        <x:v>Operational delivery register</x:v>
      </x:c>
      <x:c r="O110" s="17" t="str">
        <x:v>Mixed first plural and accountable role labels</x:v>
      </x:c>
      <x:c r="P110" s="17" t="str">
        <x:v>Present capability and future commitments</x:v>
      </x:c>
      <x:c r="Q110" s="17" t="str">
        <x:v>5 paragraphs: open with a process already in motion; develop through stakeholders encountered in an intentional order; close with one measurable consequence.</x:v>
      </x:c>
      <x:c r="R110" s="17" t="str">
        <x:v>Use at least one contextual Arabic numeral; Use a colon naturally. Do not add other marked features artificially.</x:v>
      </x:c>
      <x:c r="S110" s="17" t="str">
        <x:v>Do not restate the title; do not open with “Environment &amp; sustainability is important”, “This article/message/proposal sets out…”, “The following…”, or any legacy family formula.</x:v>
      </x:c>
      <x:c r="T110" s="17" t="str">
        <x:v>No First/Secondly/Finally ladder; avoid stock “moreover/furthermore/another important” transitions; movement must follow stakeholders encountered in an intentional order.</x:v>
      </x:c>
      <x:c r="U110" s="17" t="str">
        <x:v>Do not use “In conclusion”, “Taken together”, a generic call to action, or a thesis recap; end through one measurable consequence.</x:v>
      </x:c>
      <x:c r="V110" s="17" t="str">
        <x:v>Keep lexical and structural distance from paired brief ECV2-PRO-010 (“An energy-retrofit programme for ageing residential buildings”) and from the same Topic in other genres. Avoid benefits-list prose, institutional boilerplate and substituted-noun variants. Do not reuse wording, paragraph order or conclusions from “Circular Logistics and Recycling Service”; its former copy is reference-only.</x:v>
      </x:c>
      <x:c r="W110" s="18" t="str">
        <x:v>Yes</x:v>
      </x:c>
      <x:c r="X110" s="18" t="str">
        <x:v>No</x:v>
      </x:c>
      <x:c r="Y110" s="18" t="str">
        <x:v>No</x:v>
      </x:c>
      <x:c r="Z110" s="18" t="str">
        <x:v>No</x:v>
      </x:c>
      <x:c r="AA110" s="18" t="str">
        <x:v>Yes</x:v>
      </x:c>
      <x:c r="AB110" s="18" t="str">
        <x:v>No</x:v>
      </x:c>
      <x:c r="AC110" s="18" t="str">
        <x:v>No</x:v>
      </x:c>
      <x:c r="AD110" s="18" t="str">
        <x:v>No</x:v>
      </x:c>
      <x:c r="AE110" s="18" t="str">
        <x:v>No</x:v>
      </x:c>
    </x:row>
    <x:row r="111" ht="64" customHeight="1">
      <x:c r="A111" s="16" t="str">
        <x:v>ECV2-PRO-010</x:v>
      </x:c>
      <x:c r="B111" s="16" t="str">
        <x:v>e2beb944-f1c7-423a-b1e6-f0fef5f5a49f</x:v>
      </x:c>
      <x:c r="C111" s="16" t="str">
        <x:v>Residential Energy Retrofit Programme</x:v>
      </x:c>
      <x:c r="D111" s="16" t="str">
        <x:v>Rewrite completely</x:v>
      </x:c>
      <x:c r="E111" s="16" t="str">
        <x:v>Proposals &amp; tenders</x:v>
      </x:c>
      <x:c r="F111" s="16" t="str">
        <x:v>Environment &amp; sustainability</x:v>
      </x:c>
      <x:c r="G111" s="16" t="str">
        <x:v>Implementation plan</x:v>
      </x:c>
      <x:c r="H111" s="17" t="str">
        <x:v>An energy-retrofit programme for ageing residential buildings</x:v>
      </x:c>
      <x:c r="I111" s="17" t="str">
        <x:v>Sequence mobilisation, delivery and handover through “An energy-retrofit programme for ageing residential buildings”.</x:v>
      </x:c>
      <x:c r="J111" s="17" t="str">
        <x:v>Operational sponsors and delivery partners</x:v>
      </x:c>
      <x:c r="K111" s="17" t="str">
        <x:v>Extended</x:v>
      </x:c>
      <x:c r="L111" s="17" t="str">
        <x:v>350–500 words</x:v>
      </x:c>
      <x:c r="M111" s="17" t="str">
        <x:v>Challenging</x:v>
      </x:c>
      <x:c r="N111" s="17" t="str">
        <x:v>Specific, accountable proposal register</x:v>
      </x:c>
      <x:c r="O111" s="17" t="str">
        <x:v>First person plural for commitments</x:v>
      </x:c>
      <x:c r="P111" s="17" t="str">
        <x:v>Future delivery sequence with present controls</x:v>
      </x:c>
      <x:c r="Q111" s="17" t="str">
        <x:v>6 paragraphs: open with a corrected misconception; develop through stakeholders encountered in an intentional order; close with the exception that still needs attention.</x:v>
      </x:c>
      <x:c r="R111" s="17" t="str">
        <x:v>Use at least one contextual Arabic numeral; Include a date or time; Include a percentage, currency amount or measurement. Do not add other marked features artificially.</x:v>
      </x:c>
      <x:c r="S111" s="17" t="str">
        <x:v>Do not restate the title; do not open with “Environment &amp; sustainability is important”, “This article/message/proposal sets out…”, “The following…”, or any legacy family formula.</x:v>
      </x:c>
      <x:c r="T111" s="17" t="str">
        <x:v>No First/Secondly/Finally ladder; avoid stock “moreover/furthermore/another important” transitions; movement must follow stakeholders encountered in an intentional order.</x:v>
      </x:c>
      <x:c r="U111" s="17" t="str">
        <x:v>Do not use “In conclusion”, “Taken together”, a generic call to action, or a thesis recap; end through the exception that still needs attention.</x:v>
      </x:c>
      <x:c r="V111" s="17" t="str">
        <x:v>Keep lexical and structural distance from paired brief ECV2-PRO-009 (“A city-wide circular logistics and recycling service”) and from the same Topic in other genres. Avoid benefits-list prose, institutional boilerplate and substituted-noun variants. Do not reuse wording, paragraph order or conclusions from “Residential Energy Retrofit Programme”; its former copy is reference-only.</x:v>
      </x:c>
      <x:c r="W111" s="18" t="str">
        <x:v>Yes</x:v>
      </x:c>
      <x:c r="X111" s="18" t="str">
        <x:v>Yes</x:v>
      </x:c>
      <x:c r="Y111" s="18" t="str">
        <x:v>Yes</x:v>
      </x:c>
      <x:c r="Z111" s="18" t="str">
        <x:v>No</x:v>
      </x:c>
      <x:c r="AA111" s="18" t="str">
        <x:v>No</x:v>
      </x:c>
      <x:c r="AB111" s="18" t="str">
        <x:v>No</x:v>
      </x:c>
      <x:c r="AC111" s="18" t="str">
        <x:v>No</x:v>
      </x:c>
      <x:c r="AD111" s="18" t="str">
        <x:v>No</x:v>
      </x:c>
      <x:c r="AE111" s="18" t="str">
        <x:v>No</x:v>
      </x:c>
    </x:row>
    <x:row r="112" ht="64" customHeight="1">
      <x:c r="A112" s="16" t="str">
        <x:v>ECV2-PRO-011</x:v>
      </x:c>
      <x:c r="B112" s="16" t="str">
        <x:v>NEW</x:v>
      </x:c>
      <x:c r="C112" s="16" t="str">
        <x:v>NEW</x:v>
      </x:c>
      <x:c r="D112" s="16" t="str">
        <x:v>NEW</x:v>
      </x:c>
      <x:c r="E112" s="16" t="str">
        <x:v>Proposals &amp; tenders</x:v>
      </x:c>
      <x:c r="F112" s="16" t="str">
        <x:v>Transport, housing &amp; places</x:v>
      </x:c>
      <x:c r="G112" s="16" t="str">
        <x:v>Executive summary</x:v>
      </x:c>
      <x:c r="H112" s="17" t="str">
        <x:v>A neighbourhood cargo-bike delivery pilot</x:v>
      </x:c>
      <x:c r="I112" s="17" t="str">
        <x:v>Make the case, outcomes and value proposition through “A neighbourhood cargo-bike delivery pilot”.</x:v>
      </x:c>
      <x:c r="J112" s="17" t="str">
        <x:v>Procurement evaluators and service commissioners</x:v>
      </x:c>
      <x:c r="K112" s="17" t="str">
        <x:v>Compact</x:v>
      </x:c>
      <x:c r="L112" s="17" t="str">
        <x:v>140–199 words</x:v>
      </x:c>
      <x:c r="M112" s="17" t="str">
        <x:v>Accessible</x:v>
      </x:c>
      <x:c r="N112" s="17" t="str">
        <x:v>Formal procurement British English</x:v>
      </x:c>
      <x:c r="O112" s="17" t="str">
        <x:v>Third person for delivery arrangements</x:v>
      </x:c>
      <x:c r="P112" s="17" t="str">
        <x:v>Present capability and future commitments</x:v>
      </x:c>
      <x:c r="Q112" s="17" t="str">
        <x:v>2 paragraphs: open with one meaningful data point; develop through stakeholders encountered in an intentional order; close with the next decision that must be made.</x:v>
      </x:c>
      <x:c r="R112" s="17" t="str">
        <x:v>Use natural full stops, commas and apostrophes; do not add marked punctuation or numbers artificially.</x:v>
      </x:c>
      <x:c r="S112" s="17" t="str">
        <x:v>Do not restate the title; do not open with “Transport, housing &amp; places is important”, “This article/message/proposal sets out…”, “The following…”, or any legacy family formula.</x:v>
      </x:c>
      <x:c r="T112" s="17" t="str">
        <x:v>No First/Secondly/Finally ladder; avoid stock “moreover/furthermore/another important” transitions; movement must follow stakeholders encountered in an intentional order.</x:v>
      </x:c>
      <x:c r="U112" s="17" t="str">
        <x:v>Do not use “In conclusion”, “Taken together”, a generic call to action, or a thesis recap; end through the next decision that must be made.</x:v>
      </x:c>
      <x:c r="V112" s="17" t="str">
        <x:v>Keep lexical and structural distance from paired brief ECV2-PRO-012 (“An accessible wayfinding upgrade for a transport interchange”) and from the same Topic in other genres. Avoid benefits-list prose, institutional boilerplate and substituted-noun variants.</x:v>
      </x:c>
      <x:c r="W112" s="18" t="str">
        <x:v>No</x:v>
      </x:c>
      <x:c r="X112" s="18" t="str">
        <x:v>No</x:v>
      </x:c>
      <x:c r="Y112" s="18" t="str">
        <x:v>No</x:v>
      </x:c>
      <x:c r="Z112" s="18" t="str">
        <x:v>No</x:v>
      </x:c>
      <x:c r="AA112" s="18" t="str">
        <x:v>No</x:v>
      </x:c>
      <x:c r="AB112" s="18" t="str">
        <x:v>No</x:v>
      </x:c>
      <x:c r="AC112" s="18" t="str">
        <x:v>No</x:v>
      </x:c>
      <x:c r="AD112" s="18" t="str">
        <x:v>No</x:v>
      </x:c>
      <x:c r="AE112" s="18" t="str">
        <x:v>No</x:v>
      </x:c>
    </x:row>
    <x:row r="113" ht="64" customHeight="1">
      <x:c r="A113" s="16" t="str">
        <x:v>ECV2-PRO-012</x:v>
      </x:c>
      <x:c r="B113" s="16" t="str">
        <x:v>NEW</x:v>
      </x:c>
      <x:c r="C113" s="16" t="str">
        <x:v>NEW</x:v>
      </x:c>
      <x:c r="D113" s="16" t="str">
        <x:v>NEW</x:v>
      </x:c>
      <x:c r="E113" s="16" t="str">
        <x:v>Proposals &amp; tenders</x:v>
      </x:c>
      <x:c r="F113" s="16" t="str">
        <x:v>Transport, housing &amp; places</x:v>
      </x:c>
      <x:c r="G113" s="16" t="str">
        <x:v>Requirements response</x:v>
      </x:c>
      <x:c r="H113" s="17" t="str">
        <x:v>An accessible wayfinding upgrade for a transport interchange</x:v>
      </x:c>
      <x:c r="I113" s="17" t="str">
        <x:v>Show how stated requirements will be met through “An accessible wayfinding upgrade for a transport interchange”.</x:v>
      </x:c>
      <x:c r="J113" s="17" t="str">
        <x:v>Operational sponsors and delivery partners</x:v>
      </x:c>
      <x:c r="K113" s="17" t="str">
        <x:v>Compact</x:v>
      </x:c>
      <x:c r="L113" s="17" t="str">
        <x:v>140–199 words</x:v>
      </x:c>
      <x:c r="M113" s="17" t="str">
        <x:v>Core</x:v>
      </x:c>
      <x:c r="N113" s="17" t="str">
        <x:v>Operational delivery register</x:v>
      </x:c>
      <x:c r="O113" s="17" t="str">
        <x:v>Mixed first plural and accountable role labels</x:v>
      </x:c>
      <x:c r="P113" s="17" t="str">
        <x:v>Future delivery sequence with present controls</x:v>
      </x:c>
      <x:c r="Q113" s="17" t="str">
        <x:v>3 paragraphs: open with a physical place or object; develop through stakeholders encountered in an intentional order; close with one measurable consequence.</x:v>
      </x:c>
      <x:c r="R113" s="17" t="str">
        <x:v>Use a semicolon naturally; Use one necessary parenthetical phrase. Do not add other marked features artificially.</x:v>
      </x:c>
      <x:c r="S113" s="17" t="str">
        <x:v>Do not restate the title; do not open with “Transport, housing &amp; places is important”, “This article/message/proposal sets out…”, “The following…”, or any legacy family formula.</x:v>
      </x:c>
      <x:c r="T113" s="17" t="str">
        <x:v>No First/Secondly/Finally ladder; avoid stock “moreover/furthermore/another important” transitions; movement must follow stakeholders encountered in an intentional order.</x:v>
      </x:c>
      <x:c r="U113" s="17" t="str">
        <x:v>Do not use “In conclusion”, “Taken together”, a generic call to action, or a thesis recap; end through one measurable consequence.</x:v>
      </x:c>
      <x:c r="V113" s="17" t="str">
        <x:v>Keep lexical and structural distance from paired brief ECV2-PRO-011 (“A neighbourhood cargo-bike delivery pilot”) and from the same Topic in other genres. Avoid benefits-list prose, institutional boilerplate and substituted-noun variants.</x:v>
      </x:c>
      <x:c r="W113" s="18" t="str">
        <x:v>No</x:v>
      </x:c>
      <x:c r="X113" s="18" t="str">
        <x:v>No</x:v>
      </x:c>
      <x:c r="Y113" s="18" t="str">
        <x:v>No</x:v>
      </x:c>
      <x:c r="Z113" s="18" t="str">
        <x:v>No</x:v>
      </x:c>
      <x:c r="AA113" s="18" t="str">
        <x:v>No</x:v>
      </x:c>
      <x:c r="AB113" s="18" t="str">
        <x:v>Yes</x:v>
      </x:c>
      <x:c r="AC113" s="18" t="str">
        <x:v>Yes</x:v>
      </x:c>
      <x:c r="AD113" s="18" t="str">
        <x:v>No</x:v>
      </x:c>
      <x:c r="AE113" s="18" t="str">
        <x:v>No</x:v>
      </x:c>
    </x:row>
    <x:row r="114" ht="64" customHeight="1">
      <x:c r="A114" s="16" t="str">
        <x:v>ECV2-PRO-013</x:v>
      </x:c>
      <x:c r="B114" s="16" t="str">
        <x:v>NEW</x:v>
      </x:c>
      <x:c r="C114" s="16" t="str">
        <x:v>NEW</x:v>
      </x:c>
      <x:c r="D114" s="16" t="str">
        <x:v>NEW</x:v>
      </x:c>
      <x:c r="E114" s="16" t="str">
        <x:v>Proposals &amp; tenders</x:v>
      </x:c>
      <x:c r="F114" s="16" t="str">
        <x:v>Money &amp; the economy</x:v>
      </x:c>
      <x:c r="G114" s="16" t="str">
        <x:v>Executive summary</x:v>
      </x:c>
      <x:c r="H114" s="17" t="str">
        <x:v>A neighbourhood debt-advice outreach service</x:v>
      </x:c>
      <x:c r="I114" s="17" t="str">
        <x:v>Make the case, outcomes and value proposition through “A neighbourhood debt-advice outreach service”.</x:v>
      </x:c>
      <x:c r="J114" s="17" t="str">
        <x:v>Procurement evaluators and service commissioners</x:v>
      </x:c>
      <x:c r="K114" s="17" t="str">
        <x:v>Standard</x:v>
      </x:c>
      <x:c r="L114" s="17" t="str">
        <x:v>200–349 words</x:v>
      </x:c>
      <x:c r="M114" s="17" t="str">
        <x:v>Accessible</x:v>
      </x:c>
      <x:c r="N114" s="17" t="str">
        <x:v>Specific, accountable proposal register</x:v>
      </x:c>
      <x:c r="O114" s="17" t="str">
        <x:v>First person plural for commitments</x:v>
      </x:c>
      <x:c r="P114" s="17" t="str">
        <x:v>Present capability and future commitments</x:v>
      </x:c>
      <x:c r="Q114" s="17" t="str">
        <x:v>4 paragraphs: open with a concrete action already under way; develop through rule, worked example and genuine exception; close with the exception that still needs attention.</x:v>
      </x:c>
      <x:c r="R114" s="17" t="str">
        <x:v>Use a colon naturally. Do not add other marked features artificially.</x:v>
      </x:c>
      <x:c r="S114" s="17" t="str">
        <x:v>Do not restate the title; do not open with “Money &amp; the economy is important”, “This article/message/proposal sets out…”, “The following…”, or any legacy family formula.</x:v>
      </x:c>
      <x:c r="T114" s="17" t="str">
        <x:v>No First/Secondly/Finally ladder; avoid stock “moreover/furthermore/another important” transitions; movement must follow rule, worked example and genuine exception.</x:v>
      </x:c>
      <x:c r="U114" s="17" t="str">
        <x:v>Do not use “In conclusion”, “Taken together”, a generic call to action, or a thesis recap; end through the exception that still needs attention.</x:v>
      </x:c>
      <x:c r="V114" s="17" t="str">
        <x:v>Keep lexical and structural distance from paired brief ECV2-PRO-014 (“A procurement-savings review based on supplier collaboration”) and from the same Topic in other genres. Avoid benefits-list prose, institutional boilerplate and substituted-noun variants.</x:v>
      </x:c>
      <x:c r="W114" s="18" t="str">
        <x:v>No</x:v>
      </x:c>
      <x:c r="X114" s="18" t="str">
        <x:v>No</x:v>
      </x:c>
      <x:c r="Y114" s="18" t="str">
        <x:v>No</x:v>
      </x:c>
      <x:c r="Z114" s="18" t="str">
        <x:v>No</x:v>
      </x:c>
      <x:c r="AA114" s="18" t="str">
        <x:v>Yes</x:v>
      </x:c>
      <x:c r="AB114" s="18" t="str">
        <x:v>No</x:v>
      </x:c>
      <x:c r="AC114" s="18" t="str">
        <x:v>No</x:v>
      </x:c>
      <x:c r="AD114" s="18" t="str">
        <x:v>No</x:v>
      </x:c>
      <x:c r="AE114" s="18" t="str">
        <x:v>No</x:v>
      </x:c>
    </x:row>
    <x:row r="115" ht="64" customHeight="1">
      <x:c r="A115" s="16" t="str">
        <x:v>ECV2-PRO-014</x:v>
      </x:c>
      <x:c r="B115" s="16" t="str">
        <x:v>NEW</x:v>
      </x:c>
      <x:c r="C115" s="16" t="str">
        <x:v>NEW</x:v>
      </x:c>
      <x:c r="D115" s="16" t="str">
        <x:v>NEW</x:v>
      </x:c>
      <x:c r="E115" s="16" t="str">
        <x:v>Proposals &amp; tenders</x:v>
      </x:c>
      <x:c r="F115" s="16" t="str">
        <x:v>Money &amp; the economy</x:v>
      </x:c>
      <x:c r="G115" s="16" t="str">
        <x:v>Risk and quality plan</x:v>
      </x:c>
      <x:c r="H115" s="17" t="str">
        <x:v>A procurement-savings review based on supplier collaboration</x:v>
      </x:c>
      <x:c r="I115" s="17" t="str">
        <x:v>Control delivery, quality and material risks through “A procurement-savings review based on supplier collaboration”.</x:v>
      </x:c>
      <x:c r="J115" s="17" t="str">
        <x:v>Operational sponsors and delivery partners</x:v>
      </x:c>
      <x:c r="K115" s="17" t="str">
        <x:v>Standard</x:v>
      </x:c>
      <x:c r="L115" s="17" t="str">
        <x:v>200–349 words</x:v>
      </x:c>
      <x:c r="M115" s="17" t="str">
        <x:v>Challenging</x:v>
      </x:c>
      <x:c r="N115" s="17" t="str">
        <x:v>Formal procurement British English</x:v>
      </x:c>
      <x:c r="O115" s="17" t="str">
        <x:v>Third person for delivery arrangements</x:v>
      </x:c>
      <x:c r="P115" s="17" t="str">
        <x:v>Future delivery sequence with present controls</x:v>
      </x:c>
      <x:c r="Q115" s="17" t="str">
        <x:v>5 paragraphs: open with a brief contrast between expectation and result; develop through rule, worked example and genuine exception; close with an unresolved but specific implication.</x:v>
      </x:c>
      <x:c r="R115" s="17" t="str">
        <x:v>Use at least one contextual Arabic numeral; Include a percentage, currency amount or measurement. Do not add other marked features artificially.</x:v>
      </x:c>
      <x:c r="S115" s="17" t="str">
        <x:v>Do not restate the title; do not open with “Money &amp; the economy is important”, “This article/message/proposal sets out…”, “The following…”, or any legacy family formula.</x:v>
      </x:c>
      <x:c r="T115" s="17" t="str">
        <x:v>No First/Secondly/Finally ladder; avoid stock “moreover/furthermore/another important” transitions; movement must follow rule, worked example and genuine exception.</x:v>
      </x:c>
      <x:c r="U115" s="17" t="str">
        <x:v>Do not use “In conclusion”, “Taken together”, a generic call to action, or a thesis recap; end through an unresolved but specific implication.</x:v>
      </x:c>
      <x:c r="V115" s="17" t="str">
        <x:v>Keep lexical and structural distance from paired brief ECV2-PRO-013 (“A neighbourhood debt-advice outreach service”) and from the same Topic in other genres. Avoid benefits-list prose, institutional boilerplate and substituted-noun variants.</x:v>
      </x:c>
      <x:c r="W115" s="18" t="str">
        <x:v>Yes</x:v>
      </x:c>
      <x:c r="X115" s="18" t="str">
        <x:v>No</x:v>
      </x:c>
      <x:c r="Y115" s="18" t="str">
        <x:v>Yes</x:v>
      </x:c>
      <x:c r="Z115" s="18" t="str">
        <x:v>No</x:v>
      </x:c>
      <x:c r="AA115" s="18" t="str">
        <x:v>No</x:v>
      </x:c>
      <x:c r="AB115" s="18" t="str">
        <x:v>No</x:v>
      </x:c>
      <x:c r="AC115" s="18" t="str">
        <x:v>No</x:v>
      </x:c>
      <x:c r="AD115" s="18" t="str">
        <x:v>No</x:v>
      </x:c>
      <x:c r="AE115" s="18" t="str">
        <x:v>No</x:v>
      </x:c>
    </x:row>
    <x:row r="116" ht="64" customHeight="1">
      <x:c r="A116" s="16" t="str">
        <x:v>ECV2-PRO-015</x:v>
      </x:c>
      <x:c r="B116" s="16" t="str">
        <x:v>66304766-4e1c-40e1-86c9-ba58d7029177</x:v>
      </x:c>
      <x:c r="C116" s="16" t="str">
        <x:v>Evaluating a Practical Proposal</x:v>
      </x:c>
      <x:c r="D116" s="16" t="str">
        <x:v>Expand</x:v>
      </x:c>
      <x:c r="E116" s="16" t="str">
        <x:v>Proposals &amp; tenders</x:v>
      </x:c>
      <x:c r="F116" s="16" t="str">
        <x:v>Public services &amp; civic life</x:v>
      </x:c>
      <x:c r="G116" s="16" t="str">
        <x:v>Requirements response</x:v>
      </x:c>
      <x:c r="H116" s="17" t="str">
        <x:v>Evaluating a public-service proposal through traceable evidence</x:v>
      </x:c>
      <x:c r="I116" s="17" t="str">
        <x:v>Show how stated requirements will be met through “Evaluating a public-service proposal through traceable evidence”.</x:v>
      </x:c>
      <x:c r="J116" s="17" t="str">
        <x:v>Procurement evaluators and service commissioners</x:v>
      </x:c>
      <x:c r="K116" s="17" t="str">
        <x:v>Standard</x:v>
      </x:c>
      <x:c r="L116" s="17" t="str">
        <x:v>200–349 words</x:v>
      </x:c>
      <x:c r="M116" s="17" t="str">
        <x:v>Core</x:v>
      </x:c>
      <x:c r="N116" s="17" t="str">
        <x:v>Operational delivery register</x:v>
      </x:c>
      <x:c r="O116" s="17" t="str">
        <x:v>Mixed first plural and accountable role labels</x:v>
      </x:c>
      <x:c r="P116" s="17" t="str">
        <x:v>Present capability and future commitments</x:v>
      </x:c>
      <x:c r="Q116" s="17" t="str">
        <x:v>3 paragraphs: open with one precise observation; develop through rule, worked example and genuine exception; close with a practical boundary rather than a promise.</x:v>
      </x:c>
      <x:c r="R116" s="17" t="str">
        <x:v>Use at least one genuine question. Do not add other marked features artificially.</x:v>
      </x:c>
      <x:c r="S116" s="17" t="str">
        <x:v>Do not restate the title; do not open with “Public services &amp; civic life is important”, “This article/message/proposal sets out…”, “The following…”, or any legacy family formula.</x:v>
      </x:c>
      <x:c r="T116" s="17" t="str">
        <x:v>No First/Secondly/Finally ladder; avoid stock “moreover/furthermore/another important” transitions; movement must follow rule, worked example and genuine exception.</x:v>
      </x:c>
      <x:c r="U116" s="17" t="str">
        <x:v>Do not use “In conclusion”, “Taken together”, a generic call to action, or a thesis recap; end through a practical boundary rather than a promise.</x:v>
      </x:c>
      <x:c r="V116" s="17" t="str">
        <x:v>Keep lexical and structural distance from paired brief ECV2-PRO-016 (“A redesign of a one-stop permit application service”) and from the same Topic in other genres. Avoid benefits-list prose, institutional boilerplate and substituted-noun variants. Do not reuse wording, paragraph order or conclusions from “Evaluating a Practical Proposal”; its former copy is reference-only.</x:v>
      </x:c>
      <x:c r="W116" s="18" t="str">
        <x:v>No</x:v>
      </x:c>
      <x:c r="X116" s="18" t="str">
        <x:v>No</x:v>
      </x:c>
      <x:c r="Y116" s="18" t="str">
        <x:v>No</x:v>
      </x:c>
      <x:c r="Z116" s="18" t="str">
        <x:v>No</x:v>
      </x:c>
      <x:c r="AA116" s="18" t="str">
        <x:v>No</x:v>
      </x:c>
      <x:c r="AB116" s="18" t="str">
        <x:v>No</x:v>
      </x:c>
      <x:c r="AC116" s="18" t="str">
        <x:v>No</x:v>
      </x:c>
      <x:c r="AD116" s="18" t="str">
        <x:v>Yes</x:v>
      </x:c>
      <x:c r="AE116" s="18" t="str">
        <x:v>No</x:v>
      </x:c>
    </x:row>
    <x:row r="117" ht="64" customHeight="1">
      <x:c r="A117" s="16" t="str">
        <x:v>ECV2-PRO-016</x:v>
      </x:c>
      <x:c r="B117" s="16" t="str">
        <x:v>NEW</x:v>
      </x:c>
      <x:c r="C117" s="16" t="str">
        <x:v>NEW</x:v>
      </x:c>
      <x:c r="D117" s="16" t="str">
        <x:v>NEW</x:v>
      </x:c>
      <x:c r="E117" s="16" t="str">
        <x:v>Proposals &amp; tenders</x:v>
      </x:c>
      <x:c r="F117" s="16" t="str">
        <x:v>Public services &amp; civic life</x:v>
      </x:c>
      <x:c r="G117" s="16" t="str">
        <x:v>Implementation plan</x:v>
      </x:c>
      <x:c r="H117" s="17" t="str">
        <x:v>A redesign of a one-stop permit application service</x:v>
      </x:c>
      <x:c r="I117" s="17" t="str">
        <x:v>Sequence mobilisation, delivery and handover through “A redesign of a one-stop permit application service”.</x:v>
      </x:c>
      <x:c r="J117" s="17" t="str">
        <x:v>Operational sponsors and delivery partners</x:v>
      </x:c>
      <x:c r="K117" s="17" t="str">
        <x:v>Standard</x:v>
      </x:c>
      <x:c r="L117" s="17" t="str">
        <x:v>200–349 words</x:v>
      </x:c>
      <x:c r="M117" s="17" t="str">
        <x:v>Core</x:v>
      </x:c>
      <x:c r="N117" s="17" t="str">
        <x:v>Specific, accountable proposal register</x:v>
      </x:c>
      <x:c r="O117" s="17" t="str">
        <x:v>First person plural for commitments</x:v>
      </x:c>
      <x:c r="P117" s="17" t="str">
        <x:v>Future delivery sequence with present controls</x:v>
      </x:c>
      <x:c r="Q117" s="17" t="str">
        <x:v>4 paragraphs: open with a small case before its wider meaning; develop through rule, worked example and genuine exception; close with a concrete next action.</x:v>
      </x:c>
      <x:c r="R117" s="17" t="str">
        <x:v>Use at least one contextual Arabic numeral; Use a semicolon naturally. Do not add other marked features artificially.</x:v>
      </x:c>
      <x:c r="S117" s="17" t="str">
        <x:v>Do not restate the title; do not open with “Public services &amp; civic life is important”, “This article/message/proposal sets out…”, “The following…”, or any legacy family formula.</x:v>
      </x:c>
      <x:c r="T117" s="17" t="str">
        <x:v>No First/Secondly/Finally ladder; avoid stock “moreover/furthermore/another important” transitions; movement must follow rule, worked example and genuine exception.</x:v>
      </x:c>
      <x:c r="U117" s="17" t="str">
        <x:v>Do not use “In conclusion”, “Taken together”, a generic call to action, or a thesis recap; end through a concrete next action.</x:v>
      </x:c>
      <x:c r="V117" s="17" t="str">
        <x:v>Keep lexical and structural distance from paired brief ECV2-PRO-015 (“Evaluating a public-service proposal through traceable evidence”) and from the same Topic in other genres. Avoid benefits-list prose, institutional boilerplate and substituted-noun variants.</x:v>
      </x:c>
      <x:c r="W117" s="18" t="str">
        <x:v>Yes</x:v>
      </x:c>
      <x:c r="X117" s="18" t="str">
        <x:v>No</x:v>
      </x:c>
      <x:c r="Y117" s="18" t="str">
        <x:v>No</x:v>
      </x:c>
      <x:c r="Z117" s="18" t="str">
        <x:v>No</x:v>
      </x:c>
      <x:c r="AA117" s="18" t="str">
        <x:v>No</x:v>
      </x:c>
      <x:c r="AB117" s="18" t="str">
        <x:v>Yes</x:v>
      </x:c>
      <x:c r="AC117" s="18" t="str">
        <x:v>No</x:v>
      </x:c>
      <x:c r="AD117" s="18" t="str">
        <x:v>No</x:v>
      </x:c>
      <x:c r="AE117" s="18" t="str">
        <x:v>No</x:v>
      </x:c>
    </x:row>
    <x:row r="118" ht="64" customHeight="1">
      <x:c r="A118" s="16" t="str">
        <x:v>ECV2-PRO-017</x:v>
      </x:c>
      <x:c r="B118" s="16" t="str">
        <x:v>NEW</x:v>
      </x:c>
      <x:c r="C118" s="16" t="str">
        <x:v>NEW</x:v>
      </x:c>
      <x:c r="D118" s="16" t="str">
        <x:v>NEW</x:v>
      </x:c>
      <x:c r="E118" s="16" t="str">
        <x:v>Proposals &amp; tenders</x:v>
      </x:c>
      <x:c r="F118" s="16" t="str">
        <x:v>Family, community &amp; relationships</x:v>
      </x:c>
      <x:c r="G118" s="16" t="str">
        <x:v>Requirements response</x:v>
      </x:c>
      <x:c r="H118" s="17" t="str">
        <x:v>A weekend respite programme for family carers</x:v>
      </x:c>
      <x:c r="I118" s="17" t="str">
        <x:v>Show how stated requirements will be met through “A weekend respite programme for family carers”.</x:v>
      </x:c>
      <x:c r="J118" s="17" t="str">
        <x:v>Procurement evaluators and service commissioners</x:v>
      </x:c>
      <x:c r="K118" s="17" t="str">
        <x:v>Standard</x:v>
      </x:c>
      <x:c r="L118" s="17" t="str">
        <x:v>200–349 words</x:v>
      </x:c>
      <x:c r="M118" s="17" t="str">
        <x:v>Core</x:v>
      </x:c>
      <x:c r="N118" s="17" t="str">
        <x:v>Formal procurement British English</x:v>
      </x:c>
      <x:c r="O118" s="17" t="str">
        <x:v>Third person for delivery arrangements</x:v>
      </x:c>
      <x:c r="P118" s="17" t="str">
        <x:v>Present capability and future commitments</x:v>
      </x:c>
      <x:c r="Q118" s="17" t="str">
        <x:v>5 paragraphs: open with the immediate decision facing the reader; develop through rule, worked example and genuine exception; close with a precise takeaway without recapping every paragraph.</x:v>
      </x:c>
      <x:c r="R118" s="17" t="str">
        <x:v>Use a colon naturally. Do not add other marked features artificially.</x:v>
      </x:c>
      <x:c r="S118" s="17" t="str">
        <x:v>Do not restate the title; do not open with “Family, community &amp; relationships is important”, “This article/message/proposal sets out…”, “The following…”, or any legacy family formula.</x:v>
      </x:c>
      <x:c r="T118" s="17" t="str">
        <x:v>No First/Secondly/Finally ladder; avoid stock “moreover/furthermore/another important” transitions; movement must follow rule, worked example and genuine exception.</x:v>
      </x:c>
      <x:c r="U118" s="17" t="str">
        <x:v>Do not use “In conclusion”, “Taken together”, a generic call to action, or a thesis recap; end through a precise takeaway without recapping every paragraph.</x:v>
      </x:c>
      <x:c r="V118" s="17" t="str">
        <x:v>Keep lexical and structural distance from paired brief ECV2-PRO-018 (“A shared after-school care network”) and from the same Topic in other genres. Avoid benefits-list prose, institutional boilerplate and substituted-noun variants.</x:v>
      </x:c>
      <x:c r="W118" s="18" t="str">
        <x:v>No</x:v>
      </x:c>
      <x:c r="X118" s="18" t="str">
        <x:v>No</x:v>
      </x:c>
      <x:c r="Y118" s="18" t="str">
        <x:v>No</x:v>
      </x:c>
      <x:c r="Z118" s="18" t="str">
        <x:v>No</x:v>
      </x:c>
      <x:c r="AA118" s="18" t="str">
        <x:v>Yes</x:v>
      </x:c>
      <x:c r="AB118" s="18" t="str">
        <x:v>No</x:v>
      </x:c>
      <x:c r="AC118" s="18" t="str">
        <x:v>No</x:v>
      </x:c>
      <x:c r="AD118" s="18" t="str">
        <x:v>No</x:v>
      </x:c>
      <x:c r="AE118" s="18" t="str">
        <x:v>No</x:v>
      </x:c>
    </x:row>
    <x:row r="119" ht="64" customHeight="1">
      <x:c r="A119" s="16" t="str">
        <x:v>ECV2-PRO-018</x:v>
      </x:c>
      <x:c r="B119" s="16" t="str">
        <x:v>NEW</x:v>
      </x:c>
      <x:c r="C119" s="16" t="str">
        <x:v>NEW</x:v>
      </x:c>
      <x:c r="D119" s="16" t="str">
        <x:v>NEW</x:v>
      </x:c>
      <x:c r="E119" s="16" t="str">
        <x:v>Proposals &amp; tenders</x:v>
      </x:c>
      <x:c r="F119" s="16" t="str">
        <x:v>Family, community &amp; relationships</x:v>
      </x:c>
      <x:c r="G119" s="16" t="str">
        <x:v>Risk and quality plan</x:v>
      </x:c>
      <x:c r="H119" s="17" t="str">
        <x:v>A shared after-school care network</x:v>
      </x:c>
      <x:c r="I119" s="17" t="str">
        <x:v>Control delivery, quality and material risks through “A shared after-school care network”.</x:v>
      </x:c>
      <x:c r="J119" s="17" t="str">
        <x:v>Operational sponsors and delivery partners</x:v>
      </x:c>
      <x:c r="K119" s="17" t="str">
        <x:v>Extended</x:v>
      </x:c>
      <x:c r="L119" s="17" t="str">
        <x:v>350–500 words</x:v>
      </x:c>
      <x:c r="M119" s="17" t="str">
        <x:v>Core</x:v>
      </x:c>
      <x:c r="N119" s="17" t="str">
        <x:v>Operational delivery register</x:v>
      </x:c>
      <x:c r="O119" s="17" t="str">
        <x:v>Mixed first plural and accountable role labels</x:v>
      </x:c>
      <x:c r="P119" s="17" t="str">
        <x:v>Future delivery sequence with present controls</x:v>
      </x:c>
      <x:c r="Q119" s="17" t="str">
        <x:v>5 paragraphs: open with a consequential detail from a document; develop through rule, worked example and genuine exception; close with a return to the opening image with changed meaning.</x:v>
      </x:c>
      <x:c r="R119" s="17" t="str">
        <x:v>Use one necessary parenthetical phrase. Do not add other marked features artificially.</x:v>
      </x:c>
      <x:c r="S119" s="17" t="str">
        <x:v>Do not restate the title; do not open with “Family, community &amp; relationships is important”, “This article/message/proposal sets out…”, “The following…”, or any legacy family formula.</x:v>
      </x:c>
      <x:c r="T119" s="17" t="str">
        <x:v>No First/Secondly/Finally ladder; avoid stock “moreover/furthermore/another important” transitions; movement must follow rule, worked example and genuine exception.</x:v>
      </x:c>
      <x:c r="U119" s="17" t="str">
        <x:v>Do not use “In conclusion”, “Taken together”, a generic call to action, or a thesis recap; end through a return to the opening image with changed meaning.</x:v>
      </x:c>
      <x:c r="V119" s="17" t="str">
        <x:v>Keep lexical and structural distance from paired brief ECV2-PRO-017 (“A weekend respite programme for family carers”) and from the same Topic in other genres. Avoid benefits-list prose, institutional boilerplate and substituted-noun variants.</x:v>
      </x:c>
      <x:c r="W119" s="18" t="str">
        <x:v>No</x:v>
      </x:c>
      <x:c r="X119" s="18" t="str">
        <x:v>No</x:v>
      </x:c>
      <x:c r="Y119" s="18" t="str">
        <x:v>No</x:v>
      </x:c>
      <x:c r="Z119" s="18" t="str">
        <x:v>No</x:v>
      </x:c>
      <x:c r="AA119" s="18" t="str">
        <x:v>No</x:v>
      </x:c>
      <x:c r="AB119" s="18" t="str">
        <x:v>No</x:v>
      </x:c>
      <x:c r="AC119" s="18" t="str">
        <x:v>Yes</x:v>
      </x:c>
      <x:c r="AD119" s="18" t="str">
        <x:v>No</x:v>
      </x:c>
      <x:c r="AE119" s="18" t="str">
        <x:v>No</x:v>
      </x:c>
    </x:row>
    <x:row r="120" ht="64" customHeight="1">
      <x:c r="A120" s="16" t="str">
        <x:v>ECV2-PRO-019</x:v>
      </x:c>
      <x:c r="B120" s="16" t="str">
        <x:v>NEW</x:v>
      </x:c>
      <x:c r="C120" s="16" t="str">
        <x:v>NEW</x:v>
      </x:c>
      <x:c r="D120" s="16" t="str">
        <x:v>NEW</x:v>
      </x:c>
      <x:c r="E120" s="16" t="str">
        <x:v>Proposals &amp; tenders</x:v>
      </x:c>
      <x:c r="F120" s="16" t="str">
        <x:v>Culture, leisure &amp; everyday life</x:v>
      </x:c>
      <x:c r="G120" s="16" t="str">
        <x:v>Risk and quality plan</x:v>
      </x:c>
      <x:c r="H120" s="17" t="str">
        <x:v>A travelling local-history exhibition</x:v>
      </x:c>
      <x:c r="I120" s="17" t="str">
        <x:v>Control delivery, quality and material risks through “A travelling local-history exhibition”.</x:v>
      </x:c>
      <x:c r="J120" s="17" t="str">
        <x:v>Procurement evaluators and service commissioners</x:v>
      </x:c>
      <x:c r="K120" s="17" t="str">
        <x:v>Extended</x:v>
      </x:c>
      <x:c r="L120" s="17" t="str">
        <x:v>350–500 words</x:v>
      </x:c>
      <x:c r="M120" s="17" t="str">
        <x:v>Core</x:v>
      </x:c>
      <x:c r="N120" s="17" t="str">
        <x:v>Specific, accountable proposal register</x:v>
      </x:c>
      <x:c r="O120" s="17" t="str">
        <x:v>First person plural for commitments</x:v>
      </x:c>
      <x:c r="P120" s="17" t="str">
        <x:v>Present capability and future commitments</x:v>
      </x:c>
      <x:c r="Q120" s="17" t="str">
        <x:v>6 paragraphs: open with a time-stamped moment; develop through rule, worked example and genuine exception; close with a final stakeholder voice.</x:v>
      </x:c>
      <x:c r="R120" s="17" t="str">
        <x:v>Use natural full stops, commas and apostrophes; do not add marked punctuation or numbers artificially.</x:v>
      </x:c>
      <x:c r="S120" s="17" t="str">
        <x:v>Do not restate the title; do not open with “Culture, leisure &amp; everyday life is important”, “This article/message/proposal sets out…”, “The following…”, or any legacy family formula.</x:v>
      </x:c>
      <x:c r="T120" s="17" t="str">
        <x:v>No First/Secondly/Finally ladder; avoid stock “moreover/furthermore/another important” transitions; movement must follow rule, worked example and genuine exception.</x:v>
      </x:c>
      <x:c r="U120" s="17" t="str">
        <x:v>Do not use “In conclusion”, “Taken together”, a generic call to action, or a thesis recap; end through a final stakeholder voice.</x:v>
      </x:c>
      <x:c r="V120" s="17" t="str">
        <x:v>Keep lexical and structural distance from paired brief ECV2-PRO-020 (“A community rehearsal-space booking platform”) and from the same Topic in other genres. Avoid benefits-list prose, institutional boilerplate and substituted-noun variants.</x:v>
      </x:c>
      <x:c r="W120" s="18" t="str">
        <x:v>No</x:v>
      </x:c>
      <x:c r="X120" s="18" t="str">
        <x:v>No</x:v>
      </x:c>
      <x:c r="Y120" s="18" t="str">
        <x:v>No</x:v>
      </x:c>
      <x:c r="Z120" s="18" t="str">
        <x:v>No</x:v>
      </x:c>
      <x:c r="AA120" s="18" t="str">
        <x:v>No</x:v>
      </x:c>
      <x:c r="AB120" s="18" t="str">
        <x:v>No</x:v>
      </x:c>
      <x:c r="AC120" s="18" t="str">
        <x:v>No</x:v>
      </x:c>
      <x:c r="AD120" s="18" t="str">
        <x:v>No</x:v>
      </x:c>
      <x:c r="AE120" s="18" t="str">
        <x:v>No</x:v>
      </x:c>
    </x:row>
    <x:row r="121" ht="64" customHeight="1">
      <x:c r="A121" s="16" t="str">
        <x:v>ECV2-PRO-020</x:v>
      </x:c>
      <x:c r="B121" s="16" t="str">
        <x:v>NEW</x:v>
      </x:c>
      <x:c r="C121" s="16" t="str">
        <x:v>NEW</x:v>
      </x:c>
      <x:c r="D121" s="16" t="str">
        <x:v>NEW</x:v>
      </x:c>
      <x:c r="E121" s="16" t="str">
        <x:v>Proposals &amp; tenders</x:v>
      </x:c>
      <x:c r="F121" s="16" t="str">
        <x:v>Culture, leisure &amp; everyday life</x:v>
      </x:c>
      <x:c r="G121" s="16" t="str">
        <x:v>Risk and quality plan</x:v>
      </x:c>
      <x:c r="H121" s="17" t="str">
        <x:v>A community rehearsal-space booking platform</x:v>
      </x:c>
      <x:c r="I121" s="17" t="str">
        <x:v>Control delivery, quality and material risks through “A community rehearsal-space booking platform”.</x:v>
      </x:c>
      <x:c r="J121" s="17" t="str">
        <x:v>Operational sponsors and delivery partners</x:v>
      </x:c>
      <x:c r="K121" s="17" t="str">
        <x:v>Extended</x:v>
      </x:c>
      <x:c r="L121" s="17" t="str">
        <x:v>350–500 words</x:v>
      </x:c>
      <x:c r="M121" s="17" t="str">
        <x:v>Challenging</x:v>
      </x:c>
      <x:c r="N121" s="17" t="str">
        <x:v>Formal procurement British English</x:v>
      </x:c>
      <x:c r="O121" s="17" t="str">
        <x:v>Third person for delivery arrangements</x:v>
      </x:c>
      <x:c r="P121" s="17" t="str">
        <x:v>Future delivery sequence with present controls</x:v>
      </x:c>
      <x:c r="Q121" s="17" t="str">
        <x:v>7 paragraphs: open with an exception that challenges the usual assumption; develop through rule, worked example and genuine exception; close with a forward time marker.</x:v>
      </x:c>
      <x:c r="R121" s="17" t="str">
        <x:v>Use natural full stops, commas and apostrophes; do not add marked punctuation or numbers artificially.</x:v>
      </x:c>
      <x:c r="S121" s="17" t="str">
        <x:v>Do not restate the title; do not open with “Culture, leisure &amp; everyday life is important”, “This article/message/proposal sets out…”, “The following…”, or any legacy family formula.</x:v>
      </x:c>
      <x:c r="T121" s="17" t="str">
        <x:v>No First/Secondly/Finally ladder; avoid stock “moreover/furthermore/another important” transitions; movement must follow rule, worked example and genuine exception.</x:v>
      </x:c>
      <x:c r="U121" s="17" t="str">
        <x:v>Do not use “In conclusion”, “Taken together”, a generic call to action, or a thesis recap; end through a forward time marker.</x:v>
      </x:c>
      <x:c r="V121" s="17" t="str">
        <x:v>Keep lexical and structural distance from paired brief ECV2-PRO-019 (“A travelling local-history exhibition”) and from the same Topic in other genres. Avoid benefits-list prose, institutional boilerplate and substituted-noun variants.</x:v>
      </x:c>
      <x:c r="W121" s="18" t="str">
        <x:v>No</x:v>
      </x:c>
      <x:c r="X121" s="18" t="str">
        <x:v>No</x:v>
      </x:c>
      <x:c r="Y121" s="18" t="str">
        <x:v>No</x:v>
      </x:c>
      <x:c r="Z121" s="18" t="str">
        <x:v>No</x:v>
      </x:c>
      <x:c r="AA121" s="18" t="str">
        <x:v>No</x:v>
      </x:c>
      <x:c r="AB121" s="18" t="str">
        <x:v>No</x:v>
      </x:c>
      <x:c r="AC121" s="18" t="str">
        <x:v>No</x:v>
      </x:c>
      <x:c r="AD121" s="18" t="str">
        <x:v>No</x:v>
      </x:c>
      <x:c r="AE121" s="18" t="str">
        <x:v>No</x:v>
      </x:c>
    </x:row>
    <x:row r="122" ht="64" customHeight="1">
      <x:c r="A122" s="16" t="str">
        <x:v>ECV2-LEG-001</x:v>
      </x:c>
      <x:c r="B122" s="16" t="str">
        <x:v>682bc8fc-1d1f-4dbe-ade6-43cc84385fba</x:v>
      </x:c>
      <x:c r="C122" s="16" t="str">
        <x:v>Workplace Safety Responsibilities</x:v>
      </x:c>
      <x:c r="D122" s="16" t="str">
        <x:v>Rewrite completely</x:v>
      </x:c>
      <x:c r="E122" s="16" t="str">
        <x:v>Legal &amp; contracts</x:v>
      </x:c>
      <x:c r="F122" s="16" t="str">
        <x:v>Work &amp; organisations</x:v>
      </x:c>
      <x:c r="G122" s="16" t="str">
        <x:v>Responsibilities schedule</x:v>
      </x:c>
      <x:c r="H122" s="17" t="str">
        <x:v>Allocating safety responsibilities for contracted workplace activities</x:v>
      </x:c>
      <x:c r="I122" s="17" t="str">
        <x:v>Allocate distinct responsibilities through “Allocating safety responsibilities for contracted workplace activities”.</x:v>
      </x:c>
      <x:c r="J122" s="17" t="str">
        <x:v>Contracting parties and their operational teams</x:v>
      </x:c>
      <x:c r="K122" s="17" t="str">
        <x:v>Compact</x:v>
      </x:c>
      <x:c r="L122" s="17" t="str">
        <x:v>140–199 words</x:v>
      </x:c>
      <x:c r="M122" s="17" t="str">
        <x:v>Accessible</x:v>
      </x:c>
      <x:c r="N122" s="17" t="str">
        <x:v>Precise modern contractual British English</x:v>
      </x:c>
      <x:c r="O122" s="17" t="str">
        <x:v>Defined parties in third person</x:v>
      </x:c>
      <x:c r="P122" s="17" t="str">
        <x:v>Present legal effect with modal obligations</x:v>
      </x:c>
      <x:c r="Q122" s="17" t="str">
        <x:v>2 paragraphs: open with the practical consequence before its cause; develop through rule, worked example and genuine exception; close with a return to the opening image with changed meaning.</x:v>
      </x:c>
      <x:c r="R122" s="17" t="str">
        <x:v>Use a colon naturally. Do not add other marked features artificially.</x:v>
      </x:c>
      <x:c r="S122" s="17" t="str">
        <x:v>Do not restate the title; do not open with “Work &amp; organisations is important”, “This article/message/proposal sets out…”, “The following…”, or any legacy family formula.</x:v>
      </x:c>
      <x:c r="T122" s="17" t="str">
        <x:v>No First/Secondly/Finally ladder; avoid stock “moreover/furthermore/another important” transitions; movement must follow rule, worked example and genuine exception.</x:v>
      </x:c>
      <x:c r="U122" s="17" t="str">
        <x:v>Do not use “In conclusion”, “Taken together”, a generic call to action, or a thesis recap; end through a return to the opening image with changed meaning.</x:v>
      </x:c>
      <x:c r="V122" s="17" t="str">
        <x:v>Keep lexical and structural distance from paired brief ECV2-LEG-002 (“Allocating remote-working equipment responsibilities”) and from the same Topic in other genres. Avoid benefits-list prose, institutional boilerplate and substituted-noun variants. Do not reuse wording, paragraph order or conclusions from “Workplace Safety Responsibilities”; its former copy is reference-only.</x:v>
      </x:c>
      <x:c r="W122" s="18" t="str">
        <x:v>No</x:v>
      </x:c>
      <x:c r="X122" s="18" t="str">
        <x:v>No</x:v>
      </x:c>
      <x:c r="Y122" s="18" t="str">
        <x:v>No</x:v>
      </x:c>
      <x:c r="Z122" s="18" t="str">
        <x:v>No</x:v>
      </x:c>
      <x:c r="AA122" s="18" t="str">
        <x:v>Yes</x:v>
      </x:c>
      <x:c r="AB122" s="18" t="str">
        <x:v>No</x:v>
      </x:c>
      <x:c r="AC122" s="18" t="str">
        <x:v>No</x:v>
      </x:c>
      <x:c r="AD122" s="18" t="str">
        <x:v>No</x:v>
      </x:c>
      <x:c r="AE122" s="18" t="str">
        <x:v>No</x:v>
      </x:c>
    </x:row>
    <x:row r="123" ht="64" customHeight="1">
      <x:c r="A123" s="16" t="str">
        <x:v>ECV2-LEG-002</x:v>
      </x:c>
      <x:c r="B123" s="16" t="str">
        <x:v>NEW</x:v>
      </x:c>
      <x:c r="C123" s="16" t="str">
        <x:v>NEW</x:v>
      </x:c>
      <x:c r="D123" s="16" t="str">
        <x:v>NEW</x:v>
      </x:c>
      <x:c r="E123" s="16" t="str">
        <x:v>Legal &amp; contracts</x:v>
      </x:c>
      <x:c r="F123" s="16" t="str">
        <x:v>Work &amp; organisations</x:v>
      </x:c>
      <x:c r="G123" s="16" t="str">
        <x:v>Responsibilities schedule</x:v>
      </x:c>
      <x:c r="H123" s="17" t="str">
        <x:v>Allocating remote-working equipment responsibilities</x:v>
      </x:c>
      <x:c r="I123" s="17" t="str">
        <x:v>Allocate distinct responsibilities through “Allocating remote-working equipment responsibilities”.</x:v>
      </x:c>
      <x:c r="J123" s="17" t="str">
        <x:v>People responsible for compliance and contract administration</x:v>
      </x:c>
      <x:c r="K123" s="17" t="str">
        <x:v>Standard</x:v>
      </x:c>
      <x:c r="L123" s="17" t="str">
        <x:v>200–349 words</x:v>
      </x:c>
      <x:c r="M123" s="17" t="str">
        <x:v>Core</x:v>
      </x:c>
      <x:c r="N123" s="17" t="str">
        <x:v>Plain but enforceable legal register</x:v>
      </x:c>
      <x:c r="O123" s="17" t="str">
        <x:v>Second person only in a public-facing formal notice</x:v>
      </x:c>
      <x:c r="P123" s="17" t="str">
        <x:v>Present conditions and future deadlines</x:v>
      </x:c>
      <x:c r="Q123" s="17" t="str">
        <x:v>4 paragraphs: open with a stakeholder voice; develop through rule, worked example and genuine exception; close with a final stakeholder voice.</x:v>
      </x:c>
      <x:c r="R123" s="17" t="str">
        <x:v>Use natural full stops, commas and apostrophes; do not add marked punctuation or numbers artificially.</x:v>
      </x:c>
      <x:c r="S123" s="17" t="str">
        <x:v>Do not restate the title; do not open with “Work &amp; organisations is important”, “This article/message/proposal sets out…”, “The following…”, or any legacy family formula.</x:v>
      </x:c>
      <x:c r="T123" s="17" t="str">
        <x:v>No First/Secondly/Finally ladder; avoid stock “moreover/furthermore/another important” transitions; movement must follow rule, worked example and genuine exception.</x:v>
      </x:c>
      <x:c r="U123" s="17" t="str">
        <x:v>Do not use “In conclusion”, “Taken together”, a generic call to action, or a thesis recap; end through a final stakeholder voice.</x:v>
      </x:c>
      <x:c r="V123" s="17" t="str">
        <x:v>Keep lexical and structural distance from paired brief ECV2-LEG-001 (“Allocating safety responsibilities for contracted workplace activities”) and from the same Topic in other genres. Avoid benefits-list prose, institutional boilerplate and substituted-noun variants.</x:v>
      </x:c>
      <x:c r="W123" s="18" t="str">
        <x:v>No</x:v>
      </x:c>
      <x:c r="X123" s="18" t="str">
        <x:v>No</x:v>
      </x:c>
      <x:c r="Y123" s="18" t="str">
        <x:v>No</x:v>
      </x:c>
      <x:c r="Z123" s="18" t="str">
        <x:v>No</x:v>
      </x:c>
      <x:c r="AA123" s="18" t="str">
        <x:v>No</x:v>
      </x:c>
      <x:c r="AB123" s="18" t="str">
        <x:v>No</x:v>
      </x:c>
      <x:c r="AC123" s="18" t="str">
        <x:v>No</x:v>
      </x:c>
      <x:c r="AD123" s="18" t="str">
        <x:v>No</x:v>
      </x:c>
      <x:c r="AE123" s="18" t="str">
        <x:v>No</x:v>
      </x:c>
    </x:row>
    <x:row r="124" ht="64" customHeight="1">
      <x:c r="A124" s="16" t="str">
        <x:v>ECV2-LEG-003</x:v>
      </x:c>
      <x:c r="B124" s="16" t="str">
        <x:v>f29ca6e3-783e-4590-bfed-f45bfe4961d5</x:v>
      </x:c>
      <x:c r="C124" s="16" t="str">
        <x:v>Data Processing and Confidentiality Schedule</x:v>
      </x:c>
      <x:c r="D124" s="16" t="str">
        <x:v>Rewrite completely</x:v>
      </x:c>
      <x:c r="E124" s="16" t="str">
        <x:v>Legal &amp; contracts</x:v>
      </x:c>
      <x:c r="F124" s="16" t="str">
        <x:v>Technology &amp; digital life</x:v>
      </x:c>
      <x:c r="G124" s="16" t="str">
        <x:v>Responsibilities schedule</x:v>
      </x:c>
      <x:c r="H124" s="17" t="str">
        <x:v>A schedule governing data processing and confidentiality</x:v>
      </x:c>
      <x:c r="I124" s="17" t="str">
        <x:v>Allocate distinct responsibilities through “A schedule governing data processing and confidentiality”.</x:v>
      </x:c>
      <x:c r="J124" s="17" t="str">
        <x:v>Contracting parties and their operational teams</x:v>
      </x:c>
      <x:c r="K124" s="17" t="str">
        <x:v>Extended</x:v>
      </x:c>
      <x:c r="L124" s="17" t="str">
        <x:v>350–500 words</x:v>
      </x:c>
      <x:c r="M124" s="17" t="str">
        <x:v>Challenging</x:v>
      </x:c>
      <x:c r="N124" s="17" t="str">
        <x:v>Formal rights-and-obligations register</x:v>
      </x:c>
      <x:c r="O124" s="17" t="str">
        <x:v>Defined parties in third person</x:v>
      </x:c>
      <x:c r="P124" s="17" t="str">
        <x:v>Present legal effect with modal obligations</x:v>
      </x:c>
      <x:c r="Q124" s="17" t="str">
        <x:v>7 paragraphs: open with a process already in motion; develop through rule, worked example and genuine exception; close with a forward time marker.</x:v>
      </x:c>
      <x:c r="R124" s="17" t="str">
        <x:v>Use at least one contextual Arabic numeral; Include a purposeful direct quotation using straight single quotation marks. Do not add other marked features artificially.</x:v>
      </x:c>
      <x:c r="S124" s="17" t="str">
        <x:v>Do not restate the title; do not open with “Technology &amp; digital life is important”, “This article/message/proposal sets out…”, “The following…”, or any legacy family formula.</x:v>
      </x:c>
      <x:c r="T124" s="17" t="str">
        <x:v>No First/Secondly/Finally ladder; avoid stock “moreover/furthermore/another important” transitions; movement must follow rule, worked example and genuine exception.</x:v>
      </x:c>
      <x:c r="U124" s="17" t="str">
        <x:v>Do not use “In conclusion”, “Taken together”, a generic call to action, or a thesis recap; end through a forward time marker.</x:v>
      </x:c>
      <x:c r="V124" s="17" t="str">
        <x:v>Keep lexical and structural distance from paired brief ECV2-LEG-004 (“Remedies and exit support for high-impact AI procurement”) and from the same Topic in other genres. Avoid benefits-list prose, institutional boilerplate and substituted-noun variants. Do not reuse wording, paragraph order or conclusions from “Data Processing and Confidentiality Schedule”; its former copy is reference-only.</x:v>
      </x:c>
      <x:c r="W124" s="18" t="str">
        <x:v>Yes</x:v>
      </x:c>
      <x:c r="X124" s="18" t="str">
        <x:v>No</x:v>
      </x:c>
      <x:c r="Y124" s="18" t="str">
        <x:v>No</x:v>
      </x:c>
      <x:c r="Z124" s="18" t="str">
        <x:v>Yes</x:v>
      </x:c>
      <x:c r="AA124" s="18" t="str">
        <x:v>No</x:v>
      </x:c>
      <x:c r="AB124" s="18" t="str">
        <x:v>No</x:v>
      </x:c>
      <x:c r="AC124" s="18" t="str">
        <x:v>No</x:v>
      </x:c>
      <x:c r="AD124" s="18" t="str">
        <x:v>No</x:v>
      </x:c>
      <x:c r="AE124" s="18" t="str">
        <x:v>No</x:v>
      </x:c>
    </x:row>
    <x:row r="125" ht="64" customHeight="1">
      <x:c r="A125" s="16" t="str">
        <x:v>ECV2-LEG-004</x:v>
      </x:c>
      <x:c r="B125" s="16" t="str">
        <x:v>e176c4ce-d0fd-49d3-b576-559e398f9dda</x:v>
      </x:c>
      <x:c r="C125" s="16" t="str">
        <x:v>Responsible Artificial Intelligence Procurement Terms</x:v>
      </x:c>
      <x:c r="D125" s="16" t="str">
        <x:v>Rewrite completely</x:v>
      </x:c>
      <x:c r="E125" s="16" t="str">
        <x:v>Legal &amp; contracts</x:v>
      </x:c>
      <x:c r="F125" s="16" t="str">
        <x:v>Technology &amp; digital life</x:v>
      </x:c>
      <x:c r="G125" s="16" t="str">
        <x:v>Compliance or remedy provision</x:v>
      </x:c>
      <x:c r="H125" s="17" t="str">
        <x:v>Remedies and exit support for high-impact AI procurement</x:v>
      </x:c>
      <x:c r="I125" s="17" t="str">
        <x:v>Define compliance controls and proportionate remedies through “Remedies and exit support for high-impact AI procurement”.</x:v>
      </x:c>
      <x:c r="J125" s="17" t="str">
        <x:v>People responsible for compliance and contract administration</x:v>
      </x:c>
      <x:c r="K125" s="17" t="str">
        <x:v>Extended</x:v>
      </x:c>
      <x:c r="L125" s="17" t="str">
        <x:v>350–500 words</x:v>
      </x:c>
      <x:c r="M125" s="17" t="str">
        <x:v>Challenging</x:v>
      </x:c>
      <x:c r="N125" s="17" t="str">
        <x:v>Precise modern contractual British English</x:v>
      </x:c>
      <x:c r="O125" s="17" t="str">
        <x:v>Second person only in a public-facing formal notice</x:v>
      </x:c>
      <x:c r="P125" s="17" t="str">
        <x:v>Present conditions and future deadlines</x:v>
      </x:c>
      <x:c r="Q125" s="17" t="str">
        <x:v>5 paragraphs: open with a corrected misconception; develop through rule, worked example and genuine exception; close with the next decision that must be made.</x:v>
      </x:c>
      <x:c r="R125" s="17" t="str">
        <x:v>Use a semicolon naturally. Do not add other marked features artificially.</x:v>
      </x:c>
      <x:c r="S125" s="17" t="str">
        <x:v>Do not restate the title; do not open with “Technology &amp; digital life is important”, “This article/message/proposal sets out…”, “The following…”, or any legacy family formula.</x:v>
      </x:c>
      <x:c r="T125" s="17" t="str">
        <x:v>No First/Secondly/Finally ladder; avoid stock “moreover/furthermore/another important” transitions; movement must follow rule, worked example and genuine exception.</x:v>
      </x:c>
      <x:c r="U125" s="17" t="str">
        <x:v>Do not use “In conclusion”, “Taken together”, a generic call to action, or a thesis recap; end through the next decision that must be made.</x:v>
      </x:c>
      <x:c r="V125" s="17" t="str">
        <x:v>Keep lexical and structural distance from paired brief ECV2-LEG-003 (“A schedule governing data processing and confidentiality”) and from the same Topic in other genres. Avoid benefits-list prose, institutional boilerplate and substituted-noun variants. Do not reuse wording, paragraph order or conclusions from “Responsible Artificial Intelligence Procurement Terms”; its former copy is reference-only.</x:v>
      </x:c>
      <x:c r="W125" s="18" t="str">
        <x:v>No</x:v>
      </x:c>
      <x:c r="X125" s="18" t="str">
        <x:v>No</x:v>
      </x:c>
      <x:c r="Y125" s="18" t="str">
        <x:v>No</x:v>
      </x:c>
      <x:c r="Z125" s="18" t="str">
        <x:v>No</x:v>
      </x:c>
      <x:c r="AA125" s="18" t="str">
        <x:v>No</x:v>
      </x:c>
      <x:c r="AB125" s="18" t="str">
        <x:v>Yes</x:v>
      </x:c>
      <x:c r="AC125" s="18" t="str">
        <x:v>No</x:v>
      </x:c>
      <x:c r="AD125" s="18" t="str">
        <x:v>No</x:v>
      </x:c>
      <x:c r="AE125" s="18" t="str">
        <x:v>No</x:v>
      </x:c>
    </x:row>
    <x:row r="126" ht="64" customHeight="1">
      <x:c r="A126" s="16" t="str">
        <x:v>ECV2-LEG-005</x:v>
      </x:c>
      <x:c r="B126" s="16" t="str">
        <x:v>NEW</x:v>
      </x:c>
      <x:c r="C126" s="16" t="str">
        <x:v>NEW</x:v>
      </x:c>
      <x:c r="D126" s="16" t="str">
        <x:v>NEW</x:v>
      </x:c>
      <x:c r="E126" s="16" t="str">
        <x:v>Legal &amp; contracts</x:v>
      </x:c>
      <x:c r="F126" s="16" t="str">
        <x:v>Health &amp; wellbeing</x:v>
      </x:c>
      <x:c r="G126" s="16" t="str">
        <x:v>Compliance or remedy provision</x:v>
      </x:c>
      <x:c r="H126" s="17" t="str">
        <x:v>Consent and records remedies for workplace health assessments</x:v>
      </x:c>
      <x:c r="I126" s="17" t="str">
        <x:v>Define compliance controls and proportionate remedies through “Consent and records remedies for workplace health assessments”.</x:v>
      </x:c>
      <x:c r="J126" s="17" t="str">
        <x:v>Contracting parties and their operational teams</x:v>
      </x:c>
      <x:c r="K126" s="17" t="str">
        <x:v>Standard</x:v>
      </x:c>
      <x:c r="L126" s="17" t="str">
        <x:v>200–349 words</x:v>
      </x:c>
      <x:c r="M126" s="17" t="str">
        <x:v>Core</x:v>
      </x:c>
      <x:c r="N126" s="17" t="str">
        <x:v>Plain but enforceable legal register</x:v>
      </x:c>
      <x:c r="O126" s="17" t="str">
        <x:v>Defined parties in third person</x:v>
      </x:c>
      <x:c r="P126" s="17" t="str">
        <x:v>Present legal effect with modal obligations</x:v>
      </x:c>
      <x:c r="Q126" s="17" t="str">
        <x:v>4 paragraphs: open with one meaningful data point; develop through rule, worked example and genuine exception; close with one measurable consequence.</x:v>
      </x:c>
      <x:c r="R126" s="17" t="str">
        <x:v>Use a colon naturally. Do not add other marked features artificially.</x:v>
      </x:c>
      <x:c r="S126" s="17" t="str">
        <x:v>Do not restate the title; do not open with “Health &amp; wellbeing is important”, “This article/message/proposal sets out…”, “The following…”, or any legacy family formula.</x:v>
      </x:c>
      <x:c r="T126" s="17" t="str">
        <x:v>No First/Secondly/Finally ladder; avoid stock “moreover/furthermore/another important” transitions; movement must follow rule, worked example and genuine exception.</x:v>
      </x:c>
      <x:c r="U126" s="17" t="str">
        <x:v>Do not use “In conclusion”, “Taken together”, a generic call to action, or a thesis recap; end through one measurable consequence.</x:v>
      </x:c>
      <x:c r="V126" s="17" t="str">
        <x:v>Keep lexical and structural distance from paired brief ECV2-LEG-006 (“Service-level remedies for missed home-care visits”) and from the same Topic in other genres. Avoid benefits-list prose, institutional boilerplate and substituted-noun variants.</x:v>
      </x:c>
      <x:c r="W126" s="18" t="str">
        <x:v>No</x:v>
      </x:c>
      <x:c r="X126" s="18" t="str">
        <x:v>No</x:v>
      </x:c>
      <x:c r="Y126" s="18" t="str">
        <x:v>No</x:v>
      </x:c>
      <x:c r="Z126" s="18" t="str">
        <x:v>No</x:v>
      </x:c>
      <x:c r="AA126" s="18" t="str">
        <x:v>Yes</x:v>
      </x:c>
      <x:c r="AB126" s="18" t="str">
        <x:v>No</x:v>
      </x:c>
      <x:c r="AC126" s="18" t="str">
        <x:v>No</x:v>
      </x:c>
      <x:c r="AD126" s="18" t="str">
        <x:v>No</x:v>
      </x:c>
      <x:c r="AE126" s="18" t="str">
        <x:v>No</x:v>
      </x:c>
    </x:row>
    <x:row r="127" ht="64" customHeight="1">
      <x:c r="A127" s="16" t="str">
        <x:v>ECV2-LEG-006</x:v>
      </x:c>
      <x:c r="B127" s="16" t="str">
        <x:v>NEW</x:v>
      </x:c>
      <x:c r="C127" s="16" t="str">
        <x:v>NEW</x:v>
      </x:c>
      <x:c r="D127" s="16" t="str">
        <x:v>NEW</x:v>
      </x:c>
      <x:c r="E127" s="16" t="str">
        <x:v>Legal &amp; contracts</x:v>
      </x:c>
      <x:c r="F127" s="16" t="str">
        <x:v>Health &amp; wellbeing</x:v>
      </x:c>
      <x:c r="G127" s="16" t="str">
        <x:v>Compliance or remedy provision</x:v>
      </x:c>
      <x:c r="H127" s="17" t="str">
        <x:v>Service-level remedies for missed home-care visits</x:v>
      </x:c>
      <x:c r="I127" s="17" t="str">
        <x:v>Define compliance controls and proportionate remedies through “Service-level remedies for missed home-care visits”.</x:v>
      </x:c>
      <x:c r="J127" s="17" t="str">
        <x:v>People responsible for compliance and contract administration</x:v>
      </x:c>
      <x:c r="K127" s="17" t="str">
        <x:v>Extended</x:v>
      </x:c>
      <x:c r="L127" s="17" t="str">
        <x:v>350–500 words</x:v>
      </x:c>
      <x:c r="M127" s="17" t="str">
        <x:v>Core</x:v>
      </x:c>
      <x:c r="N127" s="17" t="str">
        <x:v>Formal rights-and-obligations register</x:v>
      </x:c>
      <x:c r="O127" s="17" t="str">
        <x:v>Second person only in a public-facing formal notice</x:v>
      </x:c>
      <x:c r="P127" s="17" t="str">
        <x:v>Present conditions and future deadlines</x:v>
      </x:c>
      <x:c r="Q127" s="17" t="str">
        <x:v>7 paragraphs: open with a physical place or object; develop through rule, worked example and genuine exception; close with the exception that still needs attention.</x:v>
      </x:c>
      <x:c r="R127" s="17" t="str">
        <x:v>Use one necessary parenthetical phrase. Do not add other marked features artificially.</x:v>
      </x:c>
      <x:c r="S127" s="17" t="str">
        <x:v>Do not restate the title; do not open with “Health &amp; wellbeing is important”, “This article/message/proposal sets out…”, “The following…”, or any legacy family formula.</x:v>
      </x:c>
      <x:c r="T127" s="17" t="str">
        <x:v>No First/Secondly/Finally ladder; avoid stock “moreover/furthermore/another important” transitions; movement must follow rule, worked example and genuine exception.</x:v>
      </x:c>
      <x:c r="U127" s="17" t="str">
        <x:v>Do not use “In conclusion”, “Taken together”, a generic call to action, or a thesis recap; end through the exception that still needs attention.</x:v>
      </x:c>
      <x:c r="V127" s="17" t="str">
        <x:v>Keep lexical and structural distance from paired brief ECV2-LEG-005 (“Consent and records remedies for workplace health assessments”) and from the same Topic in other genres. Avoid benefits-list prose, institutional boilerplate and substituted-noun variants.</x:v>
      </x:c>
      <x:c r="W127" s="18" t="str">
        <x:v>No</x:v>
      </x:c>
      <x:c r="X127" s="18" t="str">
        <x:v>No</x:v>
      </x:c>
      <x:c r="Y127" s="18" t="str">
        <x:v>No</x:v>
      </x:c>
      <x:c r="Z127" s="18" t="str">
        <x:v>No</x:v>
      </x:c>
      <x:c r="AA127" s="18" t="str">
        <x:v>No</x:v>
      </x:c>
      <x:c r="AB127" s="18" t="str">
        <x:v>No</x:v>
      </x:c>
      <x:c r="AC127" s="18" t="str">
        <x:v>Yes</x:v>
      </x:c>
      <x:c r="AD127" s="18" t="str">
        <x:v>No</x:v>
      </x:c>
      <x:c r="AE127" s="18" t="str">
        <x:v>No</x:v>
      </x:c>
    </x:row>
    <x:row r="128" ht="64" customHeight="1">
      <x:c r="A128" s="16" t="str">
        <x:v>ECV2-LEG-007</x:v>
      </x:c>
      <x:c r="B128" s="16" t="str">
        <x:v>NEW</x:v>
      </x:c>
      <x:c r="C128" s="16" t="str">
        <x:v>NEW</x:v>
      </x:c>
      <x:c r="D128" s="16" t="str">
        <x:v>NEW</x:v>
      </x:c>
      <x:c r="E128" s="16" t="str">
        <x:v>Legal &amp; contracts</x:v>
      </x:c>
      <x:c r="F128" s="16" t="str">
        <x:v>Education &amp; learning</x:v>
      </x:c>
      <x:c r="G128" s="16" t="str">
        <x:v>Core clause</x:v>
      </x:c>
      <x:c r="H128" s="17" t="str">
        <x:v>Confidentiality obligations for student work placements</x:v>
      </x:c>
      <x:c r="I128" s="17" t="str">
        <x:v>Create an enforceable primary obligation through “Confidentiality obligations for student work placements”.</x:v>
      </x:c>
      <x:c r="J128" s="17" t="str">
        <x:v>Contracting parties and their operational teams</x:v>
      </x:c>
      <x:c r="K128" s="17" t="str">
        <x:v>Compact</x:v>
      </x:c>
      <x:c r="L128" s="17" t="str">
        <x:v>140–199 words</x:v>
      </x:c>
      <x:c r="M128" s="17" t="str">
        <x:v>Accessible</x:v>
      </x:c>
      <x:c r="N128" s="17" t="str">
        <x:v>Precise modern contractual British English</x:v>
      </x:c>
      <x:c r="O128" s="17" t="str">
        <x:v>Defined parties in third person</x:v>
      </x:c>
      <x:c r="P128" s="17" t="str">
        <x:v>Present legal effect with modal obligations</x:v>
      </x:c>
      <x:c r="Q128" s="17" t="str">
        <x:v>2 paragraphs: open with a concrete action already under way; develop through observation, reflection and practical application; close with an unresolved but specific implication.</x:v>
      </x:c>
      <x:c r="R128" s="17" t="str">
        <x:v>Use natural full stops, commas and apostrophes; do not add marked punctuation or numbers artificially.</x:v>
      </x:c>
      <x:c r="S128" s="17" t="str">
        <x:v>Do not restate the title; do not open with “Education &amp; learning is important”, “This article/message/proposal sets out…”, “The following…”, or any legacy family formula.</x:v>
      </x:c>
      <x:c r="T128" s="17" t="str">
        <x:v>No First/Secondly/Finally ladder; avoid stock “moreover/furthermore/another important” transitions; movement must follow observation, reflection and practical application.</x:v>
      </x:c>
      <x:c r="U128" s="17" t="str">
        <x:v>Do not use “In conclusion”, “Taken together”, a generic call to action, or a thesis recap; end through an unresolved but specific implication.</x:v>
      </x:c>
      <x:c r="V128" s="17" t="str">
        <x:v>Keep lexical and structural distance from paired brief ECV2-LEG-008 (“A procedure for training-provider refunds and cancellations”) and from the same Topic in other genres. Avoid benefits-list prose, institutional boilerplate and substituted-noun variants.</x:v>
      </x:c>
      <x:c r="W128" s="18" t="str">
        <x:v>No</x:v>
      </x:c>
      <x:c r="X128" s="18" t="str">
        <x:v>No</x:v>
      </x:c>
      <x:c r="Y128" s="18" t="str">
        <x:v>No</x:v>
      </x:c>
      <x:c r="Z128" s="18" t="str">
        <x:v>No</x:v>
      </x:c>
      <x:c r="AA128" s="18" t="str">
        <x:v>No</x:v>
      </x:c>
      <x:c r="AB128" s="18" t="str">
        <x:v>No</x:v>
      </x:c>
      <x:c r="AC128" s="18" t="str">
        <x:v>No</x:v>
      </x:c>
      <x:c r="AD128" s="18" t="str">
        <x:v>No</x:v>
      </x:c>
      <x:c r="AE128" s="18" t="str">
        <x:v>No</x:v>
      </x:c>
    </x:row>
    <x:row r="129" ht="64" customHeight="1">
      <x:c r="A129" s="16" t="str">
        <x:v>ECV2-LEG-008</x:v>
      </x:c>
      <x:c r="B129" s="16" t="str">
        <x:v>NEW</x:v>
      </x:c>
      <x:c r="C129" s="16" t="str">
        <x:v>NEW</x:v>
      </x:c>
      <x:c r="D129" s="16" t="str">
        <x:v>NEW</x:v>
      </x:c>
      <x:c r="E129" s="16" t="str">
        <x:v>Legal &amp; contracts</x:v>
      </x:c>
      <x:c r="F129" s="16" t="str">
        <x:v>Education &amp; learning</x:v>
      </x:c>
      <x:c r="G129" s="16" t="str">
        <x:v>Procedural clause</x:v>
      </x:c>
      <x:c r="H129" s="17" t="str">
        <x:v>A procedure for training-provider refunds and cancellations</x:v>
      </x:c>
      <x:c r="I129" s="17" t="str">
        <x:v>Define steps, time limits and evidence through “A procedure for training-provider refunds and cancellations”.</x:v>
      </x:c>
      <x:c r="J129" s="17" t="str">
        <x:v>People responsible for compliance and contract administration</x:v>
      </x:c>
      <x:c r="K129" s="17" t="str">
        <x:v>Compact</x:v>
      </x:c>
      <x:c r="L129" s="17" t="str">
        <x:v>140–199 words</x:v>
      </x:c>
      <x:c r="M129" s="17" t="str">
        <x:v>Core</x:v>
      </x:c>
      <x:c r="N129" s="17" t="str">
        <x:v>Plain but enforceable legal register</x:v>
      </x:c>
      <x:c r="O129" s="17" t="str">
        <x:v>Second person only in a public-facing formal notice</x:v>
      </x:c>
      <x:c r="P129" s="17" t="str">
        <x:v>Present conditions and future deadlines</x:v>
      </x:c>
      <x:c r="Q129" s="17" t="str">
        <x:v>3 paragraphs: open with a brief contrast between expectation and result; develop through observation, reflection and practical application; close with a practical boundary rather than a promise.</x:v>
      </x:c>
      <x:c r="R129" s="17" t="str">
        <x:v>Use a semicolon naturally. Do not add other marked features artificially.</x:v>
      </x:c>
      <x:c r="S129" s="17" t="str">
        <x:v>Do not restate the title; do not open with “Education &amp; learning is important”, “This article/message/proposal sets out…”, “The following…”, or any legacy family formula.</x:v>
      </x:c>
      <x:c r="T129" s="17" t="str">
        <x:v>No First/Secondly/Finally ladder; avoid stock “moreover/furthermore/another important” transitions; movement must follow observation, reflection and practical application.</x:v>
      </x:c>
      <x:c r="U129" s="17" t="str">
        <x:v>Do not use “In conclusion”, “Taken together”, a generic call to action, or a thesis recap; end through a practical boundary rather than a promise.</x:v>
      </x:c>
      <x:c r="V129" s="17" t="str">
        <x:v>Keep lexical and structural distance from paired brief ECV2-LEG-007 (“Confidentiality obligations for student work placements”) and from the same Topic in other genres. Avoid benefits-list prose, institutional boilerplate and substituted-noun variants.</x:v>
      </x:c>
      <x:c r="W129" s="18" t="str">
        <x:v>No</x:v>
      </x:c>
      <x:c r="X129" s="18" t="str">
        <x:v>No</x:v>
      </x:c>
      <x:c r="Y129" s="18" t="str">
        <x:v>No</x:v>
      </x:c>
      <x:c r="Z129" s="18" t="str">
        <x:v>No</x:v>
      </x:c>
      <x:c r="AA129" s="18" t="str">
        <x:v>No</x:v>
      </x:c>
      <x:c r="AB129" s="18" t="str">
        <x:v>Yes</x:v>
      </x:c>
      <x:c r="AC129" s="18" t="str">
        <x:v>No</x:v>
      </x:c>
      <x:c r="AD129" s="18" t="str">
        <x:v>No</x:v>
      </x:c>
      <x:c r="AE129" s="18" t="str">
        <x:v>No</x:v>
      </x:c>
    </x:row>
    <x:row r="130" ht="64" customHeight="1">
      <x:c r="A130" s="16" t="str">
        <x:v>ECV2-LEG-009</x:v>
      </x:c>
      <x:c r="B130" s="16" t="str">
        <x:v>NEW</x:v>
      </x:c>
      <x:c r="C130" s="16" t="str">
        <x:v>NEW</x:v>
      </x:c>
      <x:c r="D130" s="16" t="str">
        <x:v>NEW</x:v>
      </x:c>
      <x:c r="E130" s="16" t="str">
        <x:v>Legal &amp; contracts</x:v>
      </x:c>
      <x:c r="F130" s="16" t="str">
        <x:v>Environment &amp; sustainability</x:v>
      </x:c>
      <x:c r="G130" s="16" t="str">
        <x:v>Procedural clause</x:v>
      </x:c>
      <x:c r="H130" s="17" t="str">
        <x:v>A procedure for reporting contaminated recycling loads</x:v>
      </x:c>
      <x:c r="I130" s="17" t="str">
        <x:v>Define steps, time limits and evidence through “A procedure for reporting contaminated recycling loads”.</x:v>
      </x:c>
      <x:c r="J130" s="17" t="str">
        <x:v>Contracting parties and their operational teams</x:v>
      </x:c>
      <x:c r="K130" s="17" t="str">
        <x:v>Compact</x:v>
      </x:c>
      <x:c r="L130" s="17" t="str">
        <x:v>140–199 words</x:v>
      </x:c>
      <x:c r="M130" s="17" t="str">
        <x:v>Challenging</x:v>
      </x:c>
      <x:c r="N130" s="17" t="str">
        <x:v>Formal rights-and-obligations register</x:v>
      </x:c>
      <x:c r="O130" s="17" t="str">
        <x:v>Defined parties in third person</x:v>
      </x:c>
      <x:c r="P130" s="17" t="str">
        <x:v>Present legal effect with modal obligations</x:v>
      </x:c>
      <x:c r="Q130" s="17" t="str">
        <x:v>2 paragraphs: open with one precise observation; develop through observation, reflection and practical application; close with a concrete next action.</x:v>
      </x:c>
      <x:c r="R130" s="17" t="str">
        <x:v>Use a colon naturally. Do not add other marked features artificially.</x:v>
      </x:c>
      <x:c r="S130" s="17" t="str">
        <x:v>Do not restate the title; do not open with “Environment &amp; sustainability is important”, “This article/message/proposal sets out…”, “The following…”, or any legacy family formula.</x:v>
      </x:c>
      <x:c r="T130" s="17" t="str">
        <x:v>No First/Secondly/Finally ladder; avoid stock “moreover/furthermore/another important” transitions; movement must follow observation, reflection and practical application.</x:v>
      </x:c>
      <x:c r="U130" s="17" t="str">
        <x:v>Do not use “In conclusion”, “Taken together”, a generic call to action, or a thesis recap; end through a concrete next action.</x:v>
      </x:c>
      <x:c r="V130" s="17" t="str">
        <x:v>Keep lexical and structural distance from paired brief ECV2-LEG-010 (“An environmental performance remedy schedule”) and from the same Topic in other genres. Avoid benefits-list prose, institutional boilerplate and substituted-noun variants.</x:v>
      </x:c>
      <x:c r="W130" s="18" t="str">
        <x:v>No</x:v>
      </x:c>
      <x:c r="X130" s="18" t="str">
        <x:v>No</x:v>
      </x:c>
      <x:c r="Y130" s="18" t="str">
        <x:v>No</x:v>
      </x:c>
      <x:c r="Z130" s="18" t="str">
        <x:v>No</x:v>
      </x:c>
      <x:c r="AA130" s="18" t="str">
        <x:v>Yes</x:v>
      </x:c>
      <x:c r="AB130" s="18" t="str">
        <x:v>No</x:v>
      </x:c>
      <x:c r="AC130" s="18" t="str">
        <x:v>No</x:v>
      </x:c>
      <x:c r="AD130" s="18" t="str">
        <x:v>No</x:v>
      </x:c>
      <x:c r="AE130" s="18" t="str">
        <x:v>No</x:v>
      </x:c>
    </x:row>
    <x:row r="131" ht="64" customHeight="1">
      <x:c r="A131" s="16" t="str">
        <x:v>ECV2-LEG-010</x:v>
      </x:c>
      <x:c r="B131" s="16" t="str">
        <x:v>NEW</x:v>
      </x:c>
      <x:c r="C131" s="16" t="str">
        <x:v>NEW</x:v>
      </x:c>
      <x:c r="D131" s="16" t="str">
        <x:v>NEW</x:v>
      </x:c>
      <x:c r="E131" s="16" t="str">
        <x:v>Legal &amp; contracts</x:v>
      </x:c>
      <x:c r="F131" s="16" t="str">
        <x:v>Environment &amp; sustainability</x:v>
      </x:c>
      <x:c r="G131" s="16" t="str">
        <x:v>Compliance or remedy provision</x:v>
      </x:c>
      <x:c r="H131" s="17" t="str">
        <x:v>An environmental performance remedy schedule</x:v>
      </x:c>
      <x:c r="I131" s="17" t="str">
        <x:v>Define compliance controls and proportionate remedies through “An environmental performance remedy schedule”.</x:v>
      </x:c>
      <x:c r="J131" s="17" t="str">
        <x:v>People responsible for compliance and contract administration</x:v>
      </x:c>
      <x:c r="K131" s="17" t="str">
        <x:v>Extended</x:v>
      </x:c>
      <x:c r="L131" s="17" t="str">
        <x:v>350–500 words</x:v>
      </x:c>
      <x:c r="M131" s="17" t="str">
        <x:v>Challenging</x:v>
      </x:c>
      <x:c r="N131" s="17" t="str">
        <x:v>Precise modern contractual British English</x:v>
      </x:c>
      <x:c r="O131" s="17" t="str">
        <x:v>Second person only in a public-facing formal notice</x:v>
      </x:c>
      <x:c r="P131" s="17" t="str">
        <x:v>Present conditions and future deadlines</x:v>
      </x:c>
      <x:c r="Q131" s="17" t="str">
        <x:v>5 paragraphs: open with a small case before its wider meaning; develop through observation, reflection and practical application; close with a precise takeaway without recapping every paragraph.</x:v>
      </x:c>
      <x:c r="R131" s="17" t="str">
        <x:v>Use natural full stops, commas and apostrophes; do not add marked punctuation or numbers artificially.</x:v>
      </x:c>
      <x:c r="S131" s="17" t="str">
        <x:v>Do not restate the title; do not open with “Environment &amp; sustainability is important”, “This article/message/proposal sets out…”, “The following…”, or any legacy family formula.</x:v>
      </x:c>
      <x:c r="T131" s="17" t="str">
        <x:v>No First/Secondly/Finally ladder; avoid stock “moreover/furthermore/another important” transitions; movement must follow observation, reflection and practical application.</x:v>
      </x:c>
      <x:c r="U131" s="17" t="str">
        <x:v>Do not use “In conclusion”, “Taken together”, a generic call to action, or a thesis recap; end through a precise takeaway without recapping every paragraph.</x:v>
      </x:c>
      <x:c r="V131" s="17" t="str">
        <x:v>Keep lexical and structural distance from paired brief ECV2-LEG-009 (“A procedure for reporting contaminated recycling loads”) and from the same Topic in other genres. Avoid benefits-list prose, institutional boilerplate and substituted-noun variants.</x:v>
      </x:c>
      <x:c r="W131" s="18" t="str">
        <x:v>No</x:v>
      </x:c>
      <x:c r="X131" s="18" t="str">
        <x:v>No</x:v>
      </x:c>
      <x:c r="Y131" s="18" t="str">
        <x:v>No</x:v>
      </x:c>
      <x:c r="Z131" s="18" t="str">
        <x:v>No</x:v>
      </x:c>
      <x:c r="AA131" s="18" t="str">
        <x:v>No</x:v>
      </x:c>
      <x:c r="AB131" s="18" t="str">
        <x:v>No</x:v>
      </x:c>
      <x:c r="AC131" s="18" t="str">
        <x:v>No</x:v>
      </x:c>
      <x:c r="AD131" s="18" t="str">
        <x:v>No</x:v>
      </x:c>
      <x:c r="AE131" s="18" t="str">
        <x:v>No</x:v>
      </x:c>
    </x:row>
    <x:row r="132" ht="64" customHeight="1">
      <x:c r="A132" s="16" t="str">
        <x:v>ECV2-LEG-011</x:v>
      </x:c>
      <x:c r="B132" s="16" t="str">
        <x:v>7cc18c21-9347-45ab-ab01-0d65a1c1cee0</x:v>
      </x:c>
      <x:c r="C132" s="16" t="str">
        <x:v>Residential Repair and Maintenance Terms</x:v>
      </x:c>
      <x:c r="D132" s="16" t="str">
        <x:v>Rewrite completely</x:v>
      </x:c>
      <x:c r="E132" s="16" t="str">
        <x:v>Legal &amp; contracts</x:v>
      </x:c>
      <x:c r="F132" s="16" t="str">
        <x:v>Transport, housing &amp; places</x:v>
      </x:c>
      <x:c r="G132" s="16" t="str">
        <x:v>Responsibilities schedule</x:v>
      </x:c>
      <x:c r="H132" s="17" t="str">
        <x:v>Allocating residential repair and maintenance responsibilities</x:v>
      </x:c>
      <x:c r="I132" s="17" t="str">
        <x:v>Allocate distinct responsibilities through “Allocating residential repair and maintenance responsibilities”.</x:v>
      </x:c>
      <x:c r="J132" s="17" t="str">
        <x:v>Contracting parties and their operational teams</x:v>
      </x:c>
      <x:c r="K132" s="17" t="str">
        <x:v>Standard</x:v>
      </x:c>
      <x:c r="L132" s="17" t="str">
        <x:v>200–349 words</x:v>
      </x:c>
      <x:c r="M132" s="17" t="str">
        <x:v>Core</x:v>
      </x:c>
      <x:c r="N132" s="17" t="str">
        <x:v>Plain but enforceable legal register</x:v>
      </x:c>
      <x:c r="O132" s="17" t="str">
        <x:v>Defined parties in third person</x:v>
      </x:c>
      <x:c r="P132" s="17" t="str">
        <x:v>Present legal effect with modal obligations</x:v>
      </x:c>
      <x:c r="Q132" s="17" t="str">
        <x:v>4 paragraphs: open with the immediate decision facing the reader; develop through observation, reflection and practical application; close with a practical boundary rather than a promise.</x:v>
      </x:c>
      <x:c r="R132" s="17" t="str">
        <x:v>Use natural full stops, commas and apostrophes; do not add marked punctuation or numbers artificially.</x:v>
      </x:c>
      <x:c r="S132" s="17" t="str">
        <x:v>Do not restate the title; do not open with “Transport, housing &amp; places is important”, “This article/message/proposal sets out…”, “The following…”, or any legacy family formula.</x:v>
      </x:c>
      <x:c r="T132" s="17" t="str">
        <x:v>No First/Secondly/Finally ladder; avoid stock “moreover/furthermore/another important” transitions; movement must follow observation, reflection and practical application.</x:v>
      </x:c>
      <x:c r="U132" s="17" t="str">
        <x:v>Do not use “In conclusion”, “Taken together”, a generic call to action, or a thesis recap; end through a practical boundary rather than a promise.</x:v>
      </x:c>
      <x:c r="V132" s="17" t="str">
        <x:v>Keep lexical and structural distance from paired brief ECV2-LEG-012 (“Passenger-assistance obligations for booked journeys”) and from the same Topic in other genres. Avoid benefits-list prose, institutional boilerplate and substituted-noun variants. Do not reuse wording, paragraph order or conclusions from “Residential Repair and Maintenance Terms”; its former copy is reference-only.</x:v>
      </x:c>
      <x:c r="W132" s="18" t="str">
        <x:v>No</x:v>
      </x:c>
      <x:c r="X132" s="18" t="str">
        <x:v>No</x:v>
      </x:c>
      <x:c r="Y132" s="18" t="str">
        <x:v>No</x:v>
      </x:c>
      <x:c r="Z132" s="18" t="str">
        <x:v>No</x:v>
      </x:c>
      <x:c r="AA132" s="18" t="str">
        <x:v>No</x:v>
      </x:c>
      <x:c r="AB132" s="18" t="str">
        <x:v>No</x:v>
      </x:c>
      <x:c r="AC132" s="18" t="str">
        <x:v>No</x:v>
      </x:c>
      <x:c r="AD132" s="18" t="str">
        <x:v>No</x:v>
      </x:c>
      <x:c r="AE132" s="18" t="str">
        <x:v>No</x:v>
      </x:c>
    </x:row>
    <x:row r="133" ht="64" customHeight="1">
      <x:c r="A133" s="16" t="str">
        <x:v>ECV2-LEG-012</x:v>
      </x:c>
      <x:c r="B133" s="16" t="str">
        <x:v>NEW</x:v>
      </x:c>
      <x:c r="C133" s="16" t="str">
        <x:v>NEW</x:v>
      </x:c>
      <x:c r="D133" s="16" t="str">
        <x:v>NEW</x:v>
      </x:c>
      <x:c r="E133" s="16" t="str">
        <x:v>Legal &amp; contracts</x:v>
      </x:c>
      <x:c r="F133" s="16" t="str">
        <x:v>Transport, housing &amp; places</x:v>
      </x:c>
      <x:c r="G133" s="16" t="str">
        <x:v>Core clause</x:v>
      </x:c>
      <x:c r="H133" s="17" t="str">
        <x:v>Passenger-assistance obligations for booked journeys</x:v>
      </x:c>
      <x:c r="I133" s="17" t="str">
        <x:v>Create an enforceable primary obligation through “Passenger-assistance obligations for booked journeys”.</x:v>
      </x:c>
      <x:c r="J133" s="17" t="str">
        <x:v>People responsible for compliance and contract administration</x:v>
      </x:c>
      <x:c r="K133" s="17" t="str">
        <x:v>Compact</x:v>
      </x:c>
      <x:c r="L133" s="17" t="str">
        <x:v>140–199 words</x:v>
      </x:c>
      <x:c r="M133" s="17" t="str">
        <x:v>Accessible</x:v>
      </x:c>
      <x:c r="N133" s="17" t="str">
        <x:v>Formal rights-and-obligations register</x:v>
      </x:c>
      <x:c r="O133" s="17" t="str">
        <x:v>Second person only in a public-facing formal notice</x:v>
      </x:c>
      <x:c r="P133" s="17" t="str">
        <x:v>Present conditions and future deadlines</x:v>
      </x:c>
      <x:c r="Q133" s="17" t="str">
        <x:v>3 paragraphs: open with a consequential detail from a document; develop through observation, reflection and practical application; close with a concrete next action.</x:v>
      </x:c>
      <x:c r="R133" s="17" t="str">
        <x:v>Use a semicolon naturally; Use one necessary parenthetical phrase. Do not add other marked features artificially.</x:v>
      </x:c>
      <x:c r="S133" s="17" t="str">
        <x:v>Do not restate the title; do not open with “Transport, housing &amp; places is important”, “This article/message/proposal sets out…”, “The following…”, or any legacy family formula.</x:v>
      </x:c>
      <x:c r="T133" s="17" t="str">
        <x:v>No First/Secondly/Finally ladder; avoid stock “moreover/furthermore/another important” transitions; movement must follow observation, reflection and practical application.</x:v>
      </x:c>
      <x:c r="U133" s="17" t="str">
        <x:v>Do not use “In conclusion”, “Taken together”, a generic call to action, or a thesis recap; end through a concrete next action.</x:v>
      </x:c>
      <x:c r="V133" s="17" t="str">
        <x:v>Keep lexical and structural distance from paired brief ECV2-LEG-011 (“Allocating residential repair and maintenance responsibilities”) and from the same Topic in other genres. Avoid benefits-list prose, institutional boilerplate and substituted-noun variants.</x:v>
      </x:c>
      <x:c r="W133" s="18" t="str">
        <x:v>No</x:v>
      </x:c>
      <x:c r="X133" s="18" t="str">
        <x:v>No</x:v>
      </x:c>
      <x:c r="Y133" s="18" t="str">
        <x:v>No</x:v>
      </x:c>
      <x:c r="Z133" s="18" t="str">
        <x:v>No</x:v>
      </x:c>
      <x:c r="AA133" s="18" t="str">
        <x:v>No</x:v>
      </x:c>
      <x:c r="AB133" s="18" t="str">
        <x:v>Yes</x:v>
      </x:c>
      <x:c r="AC133" s="18" t="str">
        <x:v>Yes</x:v>
      </x:c>
      <x:c r="AD133" s="18" t="str">
        <x:v>No</x:v>
      </x:c>
      <x:c r="AE133" s="18" t="str">
        <x:v>No</x:v>
      </x:c>
    </x:row>
    <x:row r="134" ht="64" customHeight="1">
      <x:c r="A134" s="16" t="str">
        <x:v>ECV2-LEG-013</x:v>
      </x:c>
      <x:c r="B134" s="16" t="str">
        <x:v>NEW</x:v>
      </x:c>
      <x:c r="C134" s="16" t="str">
        <x:v>NEW</x:v>
      </x:c>
      <x:c r="D134" s="16" t="str">
        <x:v>NEW</x:v>
      </x:c>
      <x:c r="E134" s="16" t="str">
        <x:v>Legal &amp; contracts</x:v>
      </x:c>
      <x:c r="F134" s="16" t="str">
        <x:v>Money &amp; the economy</x:v>
      </x:c>
      <x:c r="G134" s="16" t="str">
        <x:v>Procedural clause</x:v>
      </x:c>
      <x:c r="H134" s="17" t="str">
        <x:v>A procedure for late-payment interest and disputed invoices</x:v>
      </x:c>
      <x:c r="I134" s="17" t="str">
        <x:v>Define steps, time limits and evidence through “A procedure for late-payment interest and disputed invoices”.</x:v>
      </x:c>
      <x:c r="J134" s="17" t="str">
        <x:v>Contracting parties and their operational teams</x:v>
      </x:c>
      <x:c r="K134" s="17" t="str">
        <x:v>Standard</x:v>
      </x:c>
      <x:c r="L134" s="17" t="str">
        <x:v>200–349 words</x:v>
      </x:c>
      <x:c r="M134" s="17" t="str">
        <x:v>Challenging</x:v>
      </x:c>
      <x:c r="N134" s="17" t="str">
        <x:v>Precise modern contractual British English</x:v>
      </x:c>
      <x:c r="O134" s="17" t="str">
        <x:v>Defined parties in third person</x:v>
      </x:c>
      <x:c r="P134" s="17" t="str">
        <x:v>Present legal effect with modal obligations</x:v>
      </x:c>
      <x:c r="Q134" s="17" t="str">
        <x:v>3 paragraphs: open with a time-stamped moment; develop through observation, reflection and practical application; close with a precise takeaway without recapping every paragraph.</x:v>
      </x:c>
      <x:c r="R134" s="17" t="str">
        <x:v>Use at least one contextual Arabic numeral; Include a percentage, currency amount or measurement; Use a colon naturally. Do not add other marked features artificially.</x:v>
      </x:c>
      <x:c r="S134" s="17" t="str">
        <x:v>Do not restate the title; do not open with “Money &amp; the economy is important”, “This article/message/proposal sets out…”, “The following…”, or any legacy family formula.</x:v>
      </x:c>
      <x:c r="T134" s="17" t="str">
        <x:v>No First/Secondly/Finally ladder; avoid stock “moreover/furthermore/another important” transitions; movement must follow observation, reflection and practical application.</x:v>
      </x:c>
      <x:c r="U134" s="17" t="str">
        <x:v>Do not use “In conclusion”, “Taken together”, a generic call to action, or a thesis recap; end through a precise takeaway without recapping every paragraph.</x:v>
      </x:c>
      <x:c r="V134" s="17" t="str">
        <x:v>Keep lexical and structural distance from paired brief ECV2-LEG-014 (“A core clause requiring segregation of client money”) and from the same Topic in other genres. Avoid benefits-list prose, institutional boilerplate and substituted-noun variants.</x:v>
      </x:c>
      <x:c r="W134" s="18" t="str">
        <x:v>Yes</x:v>
      </x:c>
      <x:c r="X134" s="18" t="str">
        <x:v>No</x:v>
      </x:c>
      <x:c r="Y134" s="18" t="str">
        <x:v>Yes</x:v>
      </x:c>
      <x:c r="Z134" s="18" t="str">
        <x:v>No</x:v>
      </x:c>
      <x:c r="AA134" s="18" t="str">
        <x:v>Yes</x:v>
      </x:c>
      <x:c r="AB134" s="18" t="str">
        <x:v>No</x:v>
      </x:c>
      <x:c r="AC134" s="18" t="str">
        <x:v>No</x:v>
      </x:c>
      <x:c r="AD134" s="18" t="str">
        <x:v>No</x:v>
      </x:c>
      <x:c r="AE134" s="18" t="str">
        <x:v>No</x:v>
      </x:c>
    </x:row>
    <x:row r="135" ht="64" customHeight="1">
      <x:c r="A135" s="16" t="str">
        <x:v>ECV2-LEG-014</x:v>
      </x:c>
      <x:c r="B135" s="16" t="str">
        <x:v>NEW</x:v>
      </x:c>
      <x:c r="C135" s="16" t="str">
        <x:v>NEW</x:v>
      </x:c>
      <x:c r="D135" s="16" t="str">
        <x:v>NEW</x:v>
      </x:c>
      <x:c r="E135" s="16" t="str">
        <x:v>Legal &amp; contracts</x:v>
      </x:c>
      <x:c r="F135" s="16" t="str">
        <x:v>Money &amp; the economy</x:v>
      </x:c>
      <x:c r="G135" s="16" t="str">
        <x:v>Core clause</x:v>
      </x:c>
      <x:c r="H135" s="17" t="str">
        <x:v>A core clause requiring segregation of client money</x:v>
      </x:c>
      <x:c r="I135" s="17" t="str">
        <x:v>Create an enforceable primary obligation through “A core clause requiring segregation of client money”.</x:v>
      </x:c>
      <x:c r="J135" s="17" t="str">
        <x:v>People responsible for compliance and contract administration</x:v>
      </x:c>
      <x:c r="K135" s="17" t="str">
        <x:v>Standard</x:v>
      </x:c>
      <x:c r="L135" s="17" t="str">
        <x:v>200–349 words</x:v>
      </x:c>
      <x:c r="M135" s="17" t="str">
        <x:v>Accessible</x:v>
      </x:c>
      <x:c r="N135" s="17" t="str">
        <x:v>Plain but enforceable legal register</x:v>
      </x:c>
      <x:c r="O135" s="17" t="str">
        <x:v>Second person only in a public-facing formal notice</x:v>
      </x:c>
      <x:c r="P135" s="17" t="str">
        <x:v>Present conditions and future deadlines</x:v>
      </x:c>
      <x:c r="Q135" s="17" t="str">
        <x:v>4 paragraphs: open with an exception that challenges the usual assumption; develop through observation, reflection and practical application; close with a return to the opening image with changed meaning.</x:v>
      </x:c>
      <x:c r="R135" s="17" t="str">
        <x:v>Include a date or time. Do not add other marked features artificially.</x:v>
      </x:c>
      <x:c r="S135" s="17" t="str">
        <x:v>Do not restate the title; do not open with “Money &amp; the economy is important”, “This article/message/proposal sets out…”, “The following…”, or any legacy family formula.</x:v>
      </x:c>
      <x:c r="T135" s="17" t="str">
        <x:v>No First/Secondly/Finally ladder; avoid stock “moreover/furthermore/another important” transitions; movement must follow observation, reflection and practical application.</x:v>
      </x:c>
      <x:c r="U135" s="17" t="str">
        <x:v>Do not use “In conclusion”, “Taken together”, a generic call to action, or a thesis recap; end through a return to the opening image with changed meaning.</x:v>
      </x:c>
      <x:c r="V135" s="17" t="str">
        <x:v>Keep lexical and structural distance from paired brief ECV2-LEG-013 (“A procedure for late-payment interest and disputed invoices”) and from the same Topic in other genres. Avoid benefits-list prose, institutional boilerplate and substituted-noun variants.</x:v>
      </x:c>
      <x:c r="W135" s="18" t="str">
        <x:v>No</x:v>
      </x:c>
      <x:c r="X135" s="18" t="str">
        <x:v>Yes</x:v>
      </x:c>
      <x:c r="Y135" s="18" t="str">
        <x:v>No</x:v>
      </x:c>
      <x:c r="Z135" s="18" t="str">
        <x:v>No</x:v>
      </x:c>
      <x:c r="AA135" s="18" t="str">
        <x:v>No</x:v>
      </x:c>
      <x:c r="AB135" s="18" t="str">
        <x:v>No</x:v>
      </x:c>
      <x:c r="AC135" s="18" t="str">
        <x:v>No</x:v>
      </x:c>
      <x:c r="AD135" s="18" t="str">
        <x:v>No</x:v>
      </x:c>
      <x:c r="AE135" s="18" t="str">
        <x:v>No</x:v>
      </x:c>
    </x:row>
    <x:row r="136" ht="64" customHeight="1">
      <x:c r="A136" s="16" t="str">
        <x:v>ECV2-LEG-015</x:v>
      </x:c>
      <x:c r="B136" s="16" t="str">
        <x:v>ad1c394c-f3e9-493e-b3fa-a906ad7b8af7</x:v>
      </x:c>
      <x:c r="C136" s="16" t="str">
        <x:v>Service Continuity and Recovery Clause</x:v>
      </x:c>
      <x:c r="D136" s="16" t="str">
        <x:v>Rewrite completely</x:v>
      </x:c>
      <x:c r="E136" s="16" t="str">
        <x:v>Legal &amp; contracts</x:v>
      </x:c>
      <x:c r="F136" s="16" t="str">
        <x:v>Public services &amp; civic life</x:v>
      </x:c>
      <x:c r="G136" s="16" t="str">
        <x:v>Procedural clause</x:v>
      </x:c>
      <x:c r="H136" s="17" t="str">
        <x:v>A procedure for maintaining and recovering essential public services</x:v>
      </x:c>
      <x:c r="I136" s="17" t="str">
        <x:v>Define steps, time limits and evidence through “A procedure for maintaining and recovering essential public services”.</x:v>
      </x:c>
      <x:c r="J136" s="17" t="str">
        <x:v>Contracting parties and their operational teams</x:v>
      </x:c>
      <x:c r="K136" s="17" t="str">
        <x:v>Compact</x:v>
      </x:c>
      <x:c r="L136" s="17" t="str">
        <x:v>140–199 words</x:v>
      </x:c>
      <x:c r="M136" s="17" t="str">
        <x:v>Core</x:v>
      </x:c>
      <x:c r="N136" s="17" t="str">
        <x:v>Formal rights-and-obligations register</x:v>
      </x:c>
      <x:c r="O136" s="17" t="str">
        <x:v>Defined parties in third person</x:v>
      </x:c>
      <x:c r="P136" s="17" t="str">
        <x:v>Present legal effect with modal obligations</x:v>
      </x:c>
      <x:c r="Q136" s="17" t="str">
        <x:v>2 paragraphs: open with the practical consequence before its cause; develop through observation, reflection and practical application; close with a final stakeholder voice.</x:v>
      </x:c>
      <x:c r="R136" s="17" t="str">
        <x:v>Use natural full stops, commas and apostrophes; do not add marked punctuation or numbers artificially.</x:v>
      </x:c>
      <x:c r="S136" s="17" t="str">
        <x:v>Do not restate the title; do not open with “Public services &amp; civic life is important”, “This article/message/proposal sets out…”, “The following…”, or any legacy family formula.</x:v>
      </x:c>
      <x:c r="T136" s="17" t="str">
        <x:v>No First/Secondly/Finally ladder; avoid stock “moreover/furthermore/another important” transitions; movement must follow observation, reflection and practical application.</x:v>
      </x:c>
      <x:c r="U136" s="17" t="str">
        <x:v>Do not use “In conclusion”, “Taken together”, a generic call to action, or a thesis recap; end through a final stakeholder voice.</x:v>
      </x:c>
      <x:c r="V136" s="17" t="str">
        <x:v>Keep lexical and structural distance from paired brief ECV2-LEG-016 (“A formal notice changing public-service opening hours”) and from the same Topic in other genres. Avoid benefits-list prose, institutional boilerplate and substituted-noun variants. Do not reuse wording, paragraph order or conclusions from “Service Continuity and Recovery Clause”; its former copy is reference-only.</x:v>
      </x:c>
      <x:c r="W136" s="18" t="str">
        <x:v>No</x:v>
      </x:c>
      <x:c r="X136" s="18" t="str">
        <x:v>No</x:v>
      </x:c>
      <x:c r="Y136" s="18" t="str">
        <x:v>No</x:v>
      </x:c>
      <x:c r="Z136" s="18" t="str">
        <x:v>No</x:v>
      </x:c>
      <x:c r="AA136" s="18" t="str">
        <x:v>No</x:v>
      </x:c>
      <x:c r="AB136" s="18" t="str">
        <x:v>No</x:v>
      </x:c>
      <x:c r="AC136" s="18" t="str">
        <x:v>No</x:v>
      </x:c>
      <x:c r="AD136" s="18" t="str">
        <x:v>No</x:v>
      </x:c>
      <x:c r="AE136" s="18" t="str">
        <x:v>No</x:v>
      </x:c>
    </x:row>
    <x:row r="137" ht="64" customHeight="1">
      <x:c r="A137" s="16" t="str">
        <x:v>ECV2-LEG-016</x:v>
      </x:c>
      <x:c r="B137" s="16" t="str">
        <x:v>NEW</x:v>
      </x:c>
      <x:c r="C137" s="16" t="str">
        <x:v>NEW</x:v>
      </x:c>
      <x:c r="D137" s="16" t="str">
        <x:v>NEW</x:v>
      </x:c>
      <x:c r="E137" s="16" t="str">
        <x:v>Legal &amp; contracts</x:v>
      </x:c>
      <x:c r="F137" s="16" t="str">
        <x:v>Public services &amp; civic life</x:v>
      </x:c>
      <x:c r="G137" s="16" t="str">
        <x:v>Formal notice</x:v>
      </x:c>
      <x:c r="H137" s="17" t="str">
        <x:v>A formal notice changing public-service opening hours</x:v>
      </x:c>
      <x:c r="I137" s="17" t="str">
        <x:v>Give legally clear notice through “A formal notice changing public-service opening hours”.</x:v>
      </x:c>
      <x:c r="J137" s="17" t="str">
        <x:v>People responsible for compliance and contract administration</x:v>
      </x:c>
      <x:c r="K137" s="17" t="str">
        <x:v>Standard</x:v>
      </x:c>
      <x:c r="L137" s="17" t="str">
        <x:v>200–349 words</x:v>
      </x:c>
      <x:c r="M137" s="17" t="str">
        <x:v>Accessible</x:v>
      </x:c>
      <x:c r="N137" s="17" t="str">
        <x:v>Precise modern contractual British English</x:v>
      </x:c>
      <x:c r="O137" s="17" t="str">
        <x:v>Second person only in a public-facing formal notice</x:v>
      </x:c>
      <x:c r="P137" s="17" t="str">
        <x:v>Present conditions and future deadlines</x:v>
      </x:c>
      <x:c r="Q137" s="17" t="str">
        <x:v>3 paragraphs: open with a stakeholder voice; develop through observation, reflection and practical application; close with a forward time marker.</x:v>
      </x:c>
      <x:c r="R137" s="17" t="str">
        <x:v>Use a semicolon naturally; Use at least one genuine question. Do not add other marked features artificially.</x:v>
      </x:c>
      <x:c r="S137" s="17" t="str">
        <x:v>Do not restate the title; do not open with “Public services &amp; civic life is important”, “This article/message/proposal sets out…”, “The following…”, or any legacy family formula.</x:v>
      </x:c>
      <x:c r="T137" s="17" t="str">
        <x:v>No First/Secondly/Finally ladder; avoid stock “moreover/furthermore/another important” transitions; movement must follow observation, reflection and practical application.</x:v>
      </x:c>
      <x:c r="U137" s="17" t="str">
        <x:v>Do not use “In conclusion”, “Taken together”, a generic call to action, or a thesis recap; end through a forward time marker.</x:v>
      </x:c>
      <x:c r="V137" s="17" t="str">
        <x:v>Keep lexical and structural distance from paired brief ECV2-LEG-015 (“A procedure for maintaining and recovering essential public services”) and from the same Topic in other genres. Avoid benefits-list prose, institutional boilerplate and substituted-noun variants.</x:v>
      </x:c>
      <x:c r="W137" s="18" t="str">
        <x:v>No</x:v>
      </x:c>
      <x:c r="X137" s="18" t="str">
        <x:v>No</x:v>
      </x:c>
      <x:c r="Y137" s="18" t="str">
        <x:v>No</x:v>
      </x:c>
      <x:c r="Z137" s="18" t="str">
        <x:v>No</x:v>
      </x:c>
      <x:c r="AA137" s="18" t="str">
        <x:v>No</x:v>
      </x:c>
      <x:c r="AB137" s="18" t="str">
        <x:v>Yes</x:v>
      </x:c>
      <x:c r="AC137" s="18" t="str">
        <x:v>No</x:v>
      </x:c>
      <x:c r="AD137" s="18" t="str">
        <x:v>Yes</x:v>
      </x:c>
      <x:c r="AE137" s="18" t="str">
        <x:v>No</x:v>
      </x:c>
    </x:row>
    <x:row r="138" ht="64" customHeight="1">
      <x:c r="A138" s="16" t="str">
        <x:v>ECV2-LEG-017</x:v>
      </x:c>
      <x:c r="B138" s="16" t="str">
        <x:v>NEW</x:v>
      </x:c>
      <x:c r="C138" s="16" t="str">
        <x:v>NEW</x:v>
      </x:c>
      <x:c r="D138" s="16" t="str">
        <x:v>NEW</x:v>
      </x:c>
      <x:c r="E138" s="16" t="str">
        <x:v>Legal &amp; contracts</x:v>
      </x:c>
      <x:c r="F138" s="16" t="str">
        <x:v>Family, community &amp; relationships</x:v>
      </x:c>
      <x:c r="G138" s="16" t="str">
        <x:v>Core clause</x:v>
      </x:c>
      <x:c r="H138" s="17" t="str">
        <x:v>A core agreement allocating shared-care expenses</x:v>
      </x:c>
      <x:c r="I138" s="17" t="str">
        <x:v>Create an enforceable primary obligation through “A core agreement allocating shared-care expenses”.</x:v>
      </x:c>
      <x:c r="J138" s="17" t="str">
        <x:v>Contracting parties and their operational teams</x:v>
      </x:c>
      <x:c r="K138" s="17" t="str">
        <x:v>Standard</x:v>
      </x:c>
      <x:c r="L138" s="17" t="str">
        <x:v>200–349 words</x:v>
      </x:c>
      <x:c r="M138" s="17" t="str">
        <x:v>Core</x:v>
      </x:c>
      <x:c r="N138" s="17" t="str">
        <x:v>Plain but enforceable legal register</x:v>
      </x:c>
      <x:c r="O138" s="17" t="str">
        <x:v>Defined parties in third person</x:v>
      </x:c>
      <x:c r="P138" s="17" t="str">
        <x:v>Present legal effect with modal obligations</x:v>
      </x:c>
      <x:c r="Q138" s="17" t="str">
        <x:v>4 paragraphs: open with a process already in motion; develop through observation, reflection and practical application; close with the next decision that must be made.</x:v>
      </x:c>
      <x:c r="R138" s="17" t="str">
        <x:v>Use a colon naturally. Do not add other marked features artificially.</x:v>
      </x:c>
      <x:c r="S138" s="17" t="str">
        <x:v>Do not restate the title; do not open with “Family, community &amp; relationships is important”, “This article/message/proposal sets out…”, “The following…”, or any legacy family formula.</x:v>
      </x:c>
      <x:c r="T138" s="17" t="str">
        <x:v>No First/Secondly/Finally ladder; avoid stock “moreover/furthermore/another important” transitions; movement must follow observation, reflection and practical application.</x:v>
      </x:c>
      <x:c r="U138" s="17" t="str">
        <x:v>Do not use “In conclusion”, “Taken together”, a generic call to action, or a thesis recap; end through the next decision that must be made.</x:v>
      </x:c>
      <x:c r="V138" s="17" t="str">
        <x:v>Keep lexical and structural distance from paired brief ECV2-LEG-018 (“A formal notice changing an authorised carer”) and from the same Topic in other genres. Avoid benefits-list prose, institutional boilerplate and substituted-noun variants.</x:v>
      </x:c>
      <x:c r="W138" s="18" t="str">
        <x:v>No</x:v>
      </x:c>
      <x:c r="X138" s="18" t="str">
        <x:v>No</x:v>
      </x:c>
      <x:c r="Y138" s="18" t="str">
        <x:v>No</x:v>
      </x:c>
      <x:c r="Z138" s="18" t="str">
        <x:v>No</x:v>
      </x:c>
      <x:c r="AA138" s="18" t="str">
        <x:v>Yes</x:v>
      </x:c>
      <x:c r="AB138" s="18" t="str">
        <x:v>No</x:v>
      </x:c>
      <x:c r="AC138" s="18" t="str">
        <x:v>No</x:v>
      </x:c>
      <x:c r="AD138" s="18" t="str">
        <x:v>No</x:v>
      </x:c>
      <x:c r="AE138" s="18" t="str">
        <x:v>No</x:v>
      </x:c>
    </x:row>
    <x:row r="139" ht="64" customHeight="1">
      <x:c r="A139" s="16" t="str">
        <x:v>ECV2-LEG-018</x:v>
      </x:c>
      <x:c r="B139" s="16" t="str">
        <x:v>NEW</x:v>
      </x:c>
      <x:c r="C139" s="16" t="str">
        <x:v>NEW</x:v>
      </x:c>
      <x:c r="D139" s="16" t="str">
        <x:v>NEW</x:v>
      </x:c>
      <x:c r="E139" s="16" t="str">
        <x:v>Legal &amp; contracts</x:v>
      </x:c>
      <x:c r="F139" s="16" t="str">
        <x:v>Family, community &amp; relationships</x:v>
      </x:c>
      <x:c r="G139" s="16" t="str">
        <x:v>Formal notice</x:v>
      </x:c>
      <x:c r="H139" s="17" t="str">
        <x:v>A formal notice changing an authorised carer</x:v>
      </x:c>
      <x:c r="I139" s="17" t="str">
        <x:v>Give legally clear notice through “A formal notice changing an authorised carer”.</x:v>
      </x:c>
      <x:c r="J139" s="17" t="str">
        <x:v>People responsible for compliance and contract administration</x:v>
      </x:c>
      <x:c r="K139" s="17" t="str">
        <x:v>Standard</x:v>
      </x:c>
      <x:c r="L139" s="17" t="str">
        <x:v>200–349 words</x:v>
      </x:c>
      <x:c r="M139" s="17" t="str">
        <x:v>Core</x:v>
      </x:c>
      <x:c r="N139" s="17" t="str">
        <x:v>Formal rights-and-obligations register</x:v>
      </x:c>
      <x:c r="O139" s="17" t="str">
        <x:v>Second person only in a public-facing formal notice</x:v>
      </x:c>
      <x:c r="P139" s="17" t="str">
        <x:v>Present conditions and future deadlines</x:v>
      </x:c>
      <x:c r="Q139" s="17" t="str">
        <x:v>5 paragraphs: open with a corrected misconception; develop through observation, reflection and practical application; close with one measurable consequence.</x:v>
      </x:c>
      <x:c r="R139" s="17" t="str">
        <x:v>Use one necessary parenthetical phrase. Do not add other marked features artificially.</x:v>
      </x:c>
      <x:c r="S139" s="17" t="str">
        <x:v>Do not restate the title; do not open with “Family, community &amp; relationships is important”, “This article/message/proposal sets out…”, “The following…”, or any legacy family formula.</x:v>
      </x:c>
      <x:c r="T139" s="17" t="str">
        <x:v>No First/Secondly/Finally ladder; avoid stock “moreover/furthermore/another important” transitions; movement must follow observation, reflection and practical application.</x:v>
      </x:c>
      <x:c r="U139" s="17" t="str">
        <x:v>Do not use “In conclusion”, “Taken together”, a generic call to action, or a thesis recap; end through one measurable consequence.</x:v>
      </x:c>
      <x:c r="V139" s="17" t="str">
        <x:v>Keep lexical and structural distance from paired brief ECV2-LEG-017 (“A core agreement allocating shared-care expenses”) and from the same Topic in other genres. Avoid benefits-list prose, institutional boilerplate and substituted-noun variants.</x:v>
      </x:c>
      <x:c r="W139" s="18" t="str">
        <x:v>No</x:v>
      </x:c>
      <x:c r="X139" s="18" t="str">
        <x:v>No</x:v>
      </x:c>
      <x:c r="Y139" s="18" t="str">
        <x:v>No</x:v>
      </x:c>
      <x:c r="Z139" s="18" t="str">
        <x:v>No</x:v>
      </x:c>
      <x:c r="AA139" s="18" t="str">
        <x:v>No</x:v>
      </x:c>
      <x:c r="AB139" s="18" t="str">
        <x:v>No</x:v>
      </x:c>
      <x:c r="AC139" s="18" t="str">
        <x:v>Yes</x:v>
      </x:c>
      <x:c r="AD139" s="18" t="str">
        <x:v>No</x:v>
      </x:c>
      <x:c r="AE139" s="18" t="str">
        <x:v>No</x:v>
      </x:c>
    </x:row>
    <x:row r="140" ht="64" customHeight="1">
      <x:c r="A140" s="16" t="str">
        <x:v>ECV2-LEG-019</x:v>
      </x:c>
      <x:c r="B140" s="16" t="str">
        <x:v>NEW</x:v>
      </x:c>
      <x:c r="C140" s="16" t="str">
        <x:v>NEW</x:v>
      </x:c>
      <x:c r="D140" s="16" t="str">
        <x:v>NEW</x:v>
      </x:c>
      <x:c r="E140" s="16" t="str">
        <x:v>Legal &amp; contracts</x:v>
      </x:c>
      <x:c r="F140" s="16" t="str">
        <x:v>Culture, leisure &amp; everyday life</x:v>
      </x:c>
      <x:c r="G140" s="16" t="str">
        <x:v>Formal notice</x:v>
      </x:c>
      <x:c r="H140" s="17" t="str">
        <x:v>A formal notice governing image licences for a community exhibition</x:v>
      </x:c>
      <x:c r="I140" s="17" t="str">
        <x:v>Give legally clear notice through “A formal notice governing image licences for a community exhibition”.</x:v>
      </x:c>
      <x:c r="J140" s="17" t="str">
        <x:v>Contracting parties and their operational teams</x:v>
      </x:c>
      <x:c r="K140" s="17" t="str">
        <x:v>Standard</x:v>
      </x:c>
      <x:c r="L140" s="17" t="str">
        <x:v>200–349 words</x:v>
      </x:c>
      <x:c r="M140" s="17" t="str">
        <x:v>Core</x:v>
      </x:c>
      <x:c r="N140" s="17" t="str">
        <x:v>Precise modern contractual British English</x:v>
      </x:c>
      <x:c r="O140" s="17" t="str">
        <x:v>Defined parties in third person</x:v>
      </x:c>
      <x:c r="P140" s="17" t="str">
        <x:v>Present legal effect with modal obligations</x:v>
      </x:c>
      <x:c r="Q140" s="17" t="str">
        <x:v>3 paragraphs: open with one meaningful data point; develop through observation, reflection and practical application; close with the exception that still needs attention.</x:v>
      </x:c>
      <x:c r="R140" s="17" t="str">
        <x:v>Include a purposeful direct quotation using straight single quotation marks. Do not add other marked features artificially.</x:v>
      </x:c>
      <x:c r="S140" s="17" t="str">
        <x:v>Do not restate the title; do not open with “Culture, leisure &amp; everyday life is important”, “This article/message/proposal sets out…”, “The following…”, or any legacy family formula.</x:v>
      </x:c>
      <x:c r="T140" s="17" t="str">
        <x:v>No First/Secondly/Finally ladder; avoid stock “moreover/furthermore/another important” transitions; movement must follow observation, reflection and practical application.</x:v>
      </x:c>
      <x:c r="U140" s="17" t="str">
        <x:v>Do not use “In conclusion”, “Taken together”, a generic call to action, or a thesis recap; end through the exception that still needs attention.</x:v>
      </x:c>
      <x:c r="V140" s="17" t="str">
        <x:v>Keep lexical and structural distance from paired brief ECV2-LEG-020 (“A formal notice covering venue cancellation and damage”) and from the same Topic in other genres. Avoid benefits-list prose, institutional boilerplate and substituted-noun variants.</x:v>
      </x:c>
      <x:c r="W140" s="18" t="str">
        <x:v>No</x:v>
      </x:c>
      <x:c r="X140" s="18" t="str">
        <x:v>No</x:v>
      </x:c>
      <x:c r="Y140" s="18" t="str">
        <x:v>No</x:v>
      </x:c>
      <x:c r="Z140" s="18" t="str">
        <x:v>Yes</x:v>
      </x:c>
      <x:c r="AA140" s="18" t="str">
        <x:v>No</x:v>
      </x:c>
      <x:c r="AB140" s="18" t="str">
        <x:v>No</x:v>
      </x:c>
      <x:c r="AC140" s="18" t="str">
        <x:v>No</x:v>
      </x:c>
      <x:c r="AD140" s="18" t="str">
        <x:v>No</x:v>
      </x:c>
      <x:c r="AE140" s="18" t="str">
        <x:v>No</x:v>
      </x:c>
    </x:row>
    <x:row r="141" ht="64" customHeight="1">
      <x:c r="A141" s="16" t="str">
        <x:v>ECV2-LEG-020</x:v>
      </x:c>
      <x:c r="B141" s="16" t="str">
        <x:v>NEW</x:v>
      </x:c>
      <x:c r="C141" s="16" t="str">
        <x:v>NEW</x:v>
      </x:c>
      <x:c r="D141" s="16" t="str">
        <x:v>NEW</x:v>
      </x:c>
      <x:c r="E141" s="16" t="str">
        <x:v>Legal &amp; contracts</x:v>
      </x:c>
      <x:c r="F141" s="16" t="str">
        <x:v>Culture, leisure &amp; everyday life</x:v>
      </x:c>
      <x:c r="G141" s="16" t="str">
        <x:v>Formal notice</x:v>
      </x:c>
      <x:c r="H141" s="17" t="str">
        <x:v>A formal notice covering venue cancellation and damage</x:v>
      </x:c>
      <x:c r="I141" s="17" t="str">
        <x:v>Give legally clear notice through “A formal notice covering venue cancellation and damage”.</x:v>
      </x:c>
      <x:c r="J141" s="17" t="str">
        <x:v>People responsible for compliance and contract administration</x:v>
      </x:c>
      <x:c r="K141" s="17" t="str">
        <x:v>Standard</x:v>
      </x:c>
      <x:c r="L141" s="17" t="str">
        <x:v>200–349 words</x:v>
      </x:c>
      <x:c r="M141" s="17" t="str">
        <x:v>Core</x:v>
      </x:c>
      <x:c r="N141" s="17" t="str">
        <x:v>Plain but enforceable legal register</x:v>
      </x:c>
      <x:c r="O141" s="17" t="str">
        <x:v>Second person only in a public-facing formal notice</x:v>
      </x:c>
      <x:c r="P141" s="17" t="str">
        <x:v>Present conditions and future deadlines</x:v>
      </x:c>
      <x:c r="Q141" s="17" t="str">
        <x:v>4 paragraphs: open with a physical place or object; develop through observation, reflection and practical application; close with an unresolved but specific implication.</x:v>
      </x:c>
      <x:c r="R141" s="17" t="str">
        <x:v>Use at least one contextual Arabic numeral; Include a date or time; Include a percentage, currency amount or measurement. Do not add other marked features artificially.</x:v>
      </x:c>
      <x:c r="S141" s="17" t="str">
        <x:v>Do not restate the title; do not open with “Culture, leisure &amp; everyday life is important”, “This article/message/proposal sets out…”, “The following…”, or any legacy family formula.</x:v>
      </x:c>
      <x:c r="T141" s="17" t="str">
        <x:v>No First/Secondly/Finally ladder; avoid stock “moreover/furthermore/another important” transitions; movement must follow observation, reflection and practical application.</x:v>
      </x:c>
      <x:c r="U141" s="17" t="str">
        <x:v>Do not use “In conclusion”, “Taken together”, a generic call to action, or a thesis recap; end through an unresolved but specific implication.</x:v>
      </x:c>
      <x:c r="V141" s="17" t="str">
        <x:v>Keep lexical and structural distance from paired brief ECV2-LEG-019 (“A formal notice governing image licences for a community exhibition”) and from the same Topic in other genres. Avoid benefits-list prose, institutional boilerplate and substituted-noun variants.</x:v>
      </x:c>
      <x:c r="W141" s="18" t="str">
        <x:v>Yes</x:v>
      </x:c>
      <x:c r="X141" s="18" t="str">
        <x:v>Yes</x:v>
      </x:c>
      <x:c r="Y141" s="18" t="str">
        <x:v>Yes</x:v>
      </x:c>
      <x:c r="Z141" s="18" t="str">
        <x:v>No</x:v>
      </x:c>
      <x:c r="AA141" s="18" t="str">
        <x:v>No</x:v>
      </x:c>
      <x:c r="AB141" s="18" t="str">
        <x:v>No</x:v>
      </x:c>
      <x:c r="AC141" s="18" t="str">
        <x:v>No</x:v>
      </x:c>
      <x:c r="AD141" s="18" t="str">
        <x:v>No</x:v>
      </x:c>
      <x:c r="AE141" s="18" t="str">
        <x:v>No</x:v>
      </x:c>
    </x:row>
  </x:sheetData>
  <x:conditionalFormatting sqref="D2:D141">
    <x:cfRule type="containsText" dxfId="0" priority="1" operator="containsText" text="NEW"/>
    <x:cfRule type="containsText" dxfId="1" priority="2" operator="containsText" text="Rewrite"/>
    <x:cfRule type="containsText" dxfId="2" priority="3" operator="containsText" text="Reclassify"/>
  </x:conditionalFormatting>
  <x:pageMargins left="0.7" right="0.7" top="0.75" bottom="0.75" header="0.3" footer="0.3"/>
  <x:tableParts count="1">
    <x:tablePart xmlns:r="http://schemas.openxmlformats.org/officeDocument/2006/relationships" r:id="R5bf5a6a13e2048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4" hidden="0" customWidth="1"/>
    <x:col min="3" max="3" width="42" hidden="0" customWidth="1"/>
    <x:col min="4" max="4" width="14" hidden="0" customWidth="1"/>
    <x:col min="5" max="5" width="14" hidden="0" customWidth="1"/>
  </x:cols>
  <x:sheetData>
    <x:row r="1" ht="32" customHeight="1">
      <x:c r="A1" s="19" t="str">
        <x:v>Manifest validation</x:v>
      </x:c>
      <x:c r="B1" s="19"/>
      <x:c r="C1" s="19"/>
      <x:c r="D1" s="19"/>
    </x:row>
    <x:row r="3">
      <x:c r="A3" s="20" t="str">
        <x:v>Constraint</x:v>
      </x:c>
      <x:c r="B3" s="20" t="str">
        <x:v>Expected</x:v>
      </x:c>
      <x:c r="C3" s="20" t="str">
        <x:v>Actual</x:v>
      </x:c>
      <x:c r="D3" s="20" t="str">
        <x:v>Status</x:v>
      </x:c>
      <x:c r="E3" s="21"/>
    </x:row>
    <x:row r="4">
      <x:c r="A4" s="21" t="str">
        <x:v>Total slots</x:v>
      </x:c>
      <x:c r="B4" s="21" t="n">
        <x:v>140</x:v>
      </x:c>
      <x:c r="C4" s="21" t="n">
        <x:f>COUNTA('Manifest'!$A$2:$A$141)</x:f>
        <x:v>140</x:v>
      </x:c>
      <x:c r="D4" s="22" t="str">
        <x:f>IF(C4=B4,"PASS","FAIL")</x:f>
        <x:v>PASS</x:v>
      </x:c>
      <x:c r="E4" s="22"/>
    </x:row>
    <x:row r="5">
      <x:c r="A5" s="21" t="str">
        <x:v>Existing retained concepts</x:v>
      </x:c>
      <x:c r="B5" s="21" t="n">
        <x:v>40</x:v>
      </x:c>
      <x:c r="C5" s="21" t="n">
        <x:f>COUNTIF('Manifest'!$B$2:$B$141,"&lt;&gt;NEW")</x:f>
        <x:v>40</x:v>
      </x:c>
      <x:c r="D5" s="22" t="str">
        <x:f>IF(C5=B5,"PASS","FAIL")</x:f>
        <x:v>PASS</x:v>
      </x:c>
      <x:c r="E5" s="22"/>
    </x:row>
    <x:row r="6">
      <x:c r="A6" s="21" t="str">
        <x:v>New concepts</x:v>
      </x:c>
      <x:c r="B6" s="21" t="n">
        <x:v>100</x:v>
      </x:c>
      <x:c r="C6" s="21" t="n">
        <x:f>COUNTIF('Manifest'!$B$2:$B$141,"NEW")</x:f>
        <x:v>100</x:v>
      </x:c>
      <x:c r="D6" s="22" t="str">
        <x:f>IF(C6=B6,"PASS","FAIL")</x:f>
        <x:v>PASS</x:v>
      </x:c>
      <x:c r="E6" s="22"/>
    </x:row>
    <x:row r="7">
      <x:c r="A7" s="21" t="str">
        <x:v>Compact</x:v>
      </x:c>
      <x:c r="B7" s="21" t="n">
        <x:v>28</x:v>
      </x:c>
      <x:c r="C7" s="21" t="n">
        <x:f>COUNTIF('Manifest'!$K$2:$K$141,"Compact")</x:f>
        <x:v>28</x:v>
      </x:c>
      <x:c r="D7" s="22" t="str">
        <x:f>IF(C7=B7,"PASS","FAIL")</x:f>
        <x:v>PASS</x:v>
      </x:c>
      <x:c r="E7" s="22"/>
    </x:row>
    <x:row r="8">
      <x:c r="A8" s="21" t="str">
        <x:v>Standard</x:v>
      </x:c>
      <x:c r="B8" s="21" t="n">
        <x:v>78</x:v>
      </x:c>
      <x:c r="C8" s="21" t="n">
        <x:f>COUNTIF('Manifest'!$K$2:$K$141,"Standard")</x:f>
        <x:v>78</x:v>
      </x:c>
      <x:c r="D8" s="22" t="str">
        <x:f>IF(C8=B8,"PASS","FAIL")</x:f>
        <x:v>PASS</x:v>
      </x:c>
      <x:c r="E8" s="22"/>
    </x:row>
    <x:row r="9">
      <x:c r="A9" s="21" t="str">
        <x:v>Extended</x:v>
      </x:c>
      <x:c r="B9" s="21" t="n">
        <x:v>34</x:v>
      </x:c>
      <x:c r="C9" s="21" t="n">
        <x:f>COUNTIF('Manifest'!$K$2:$K$141,"Extended")</x:f>
        <x:v>34</x:v>
      </x:c>
      <x:c r="D9" s="22" t="str">
        <x:f>IF(C9=B9,"PASS","FAIL")</x:f>
        <x:v>PASS</x:v>
      </x:c>
      <x:c r="E9" s="22"/>
    </x:row>
    <x:row r="10">
      <x:c r="A10" s="21" t="str">
        <x:v>Accessible</x:v>
      </x:c>
      <x:c r="B10" s="21" t="n">
        <x:v>35</x:v>
      </x:c>
      <x:c r="C10" s="21" t="n">
        <x:f>COUNTIF('Manifest'!$M$2:$M$141,"Accessible")</x:f>
        <x:v>35</x:v>
      </x:c>
      <x:c r="D10" s="22" t="str">
        <x:f>IF(C10=B10,"PASS","FAIL")</x:f>
        <x:v>PASS</x:v>
      </x:c>
      <x:c r="E10" s="22"/>
    </x:row>
    <x:row r="11">
      <x:c r="A11" s="21" t="str">
        <x:v>Core</x:v>
      </x:c>
      <x:c r="B11" s="21" t="n">
        <x:v>70</x:v>
      </x:c>
      <x:c r="C11" s="21" t="n">
        <x:f>COUNTIF('Manifest'!$M$2:$M$141,"Core")</x:f>
        <x:v>70</x:v>
      </x:c>
      <x:c r="D11" s="22" t="str">
        <x:f>IF(C11=B11,"PASS","FAIL")</x:f>
        <x:v>PASS</x:v>
      </x:c>
      <x:c r="E11" s="22"/>
    </x:row>
    <x:row r="12">
      <x:c r="A12" s="21" t="str">
        <x:v>Challenging</x:v>
      </x:c>
      <x:c r="B12" s="21" t="n">
        <x:v>35</x:v>
      </x:c>
      <x:c r="C12" s="21" t="n">
        <x:f>COUNTIF('Manifest'!$M$2:$M$141,"Challenging")</x:f>
        <x:v>35</x:v>
      </x:c>
      <x:c r="D12" s="22" t="str">
        <x:f>IF(C12=B12,"PASS","FAIL")</x:f>
        <x:v>PASS</x:v>
      </x:c>
      <x:c r="E12" s="22"/>
    </x:row>
    <x:row r="13">
      <x:c r="A13" s="21"/>
      <x:c r="B13" s="21"/>
      <x:c r="C13" s="21"/>
      <x:c r="D13" s="22"/>
      <x:c r="E13" s="22"/>
    </x:row>
    <x:row r="14">
      <x:c r="A14" s="21"/>
      <x:c r="B14" s="21"/>
      <x:c r="C14" s="21"/>
      <x:c r="D14" s="22"/>
      <x:c r="E14" s="22"/>
    </x:row>
    <x:row r="15">
      <x:c r="A15" s="20" t="str">
        <x:v>Category</x:v>
      </x:c>
      <x:c r="B15" s="20" t="str">
        <x:v>Expected</x:v>
      </x:c>
      <x:c r="C15" s="20" t="str">
        <x:v>Actual</x:v>
      </x:c>
      <x:c r="D15" s="23" t="str">
        <x:v>Status</x:v>
      </x:c>
      <x:c r="E15" s="22"/>
    </x:row>
    <x:row r="16">
      <x:c r="A16" s="21" t="str">
        <x:v>Articles</x:v>
      </x:c>
      <x:c r="B16" s="21" t="n">
        <x:v>20</x:v>
      </x:c>
      <x:c r="C16" s="21" t="n">
        <x:f>COUNTIF('Manifest'!$E$2:$E$141,A16)</x:f>
        <x:v>20</x:v>
      </x:c>
      <x:c r="D16" s="22" t="str">
        <x:f>IF(C16=B16,"PASS","FAIL")</x:f>
        <x:v>PASS</x:v>
      </x:c>
      <x:c r="E16" s="22"/>
    </x:row>
    <x:row r="17">
      <x:c r="A17" s="21" t="str">
        <x:v>Personal writing</x:v>
      </x:c>
      <x:c r="B17" s="21" t="n">
        <x:v>20</x:v>
      </x:c>
      <x:c r="C17" s="21" t="n">
        <x:f>COUNTIF('Manifest'!$E$2:$E$141,A17)</x:f>
        <x:v>20</x:v>
      </x:c>
      <x:c r="D17" s="22" t="str">
        <x:f>IF(C17=B17,"PASS","FAIL")</x:f>
        <x:v>PASS</x:v>
      </x:c>
      <x:c r="E17" s="22"/>
    </x:row>
    <x:row r="18">
      <x:c r="A18" s="21" t="str">
        <x:v>News</x:v>
      </x:c>
      <x:c r="B18" s="21" t="n">
        <x:v>20</x:v>
      </x:c>
      <x:c r="C18" s="21" t="n">
        <x:f>COUNTIF('Manifest'!$E$2:$E$141,A18)</x:f>
        <x:v>20</x:v>
      </x:c>
      <x:c r="D18" s="22" t="str">
        <x:f>IF(C18=B18,"PASS","FAIL")</x:f>
        <x:v>PASS</x:v>
      </x:c>
      <x:c r="E18" s="22"/>
    </x:row>
    <x:row r="19">
      <x:c r="A19" s="21" t="str">
        <x:v>Business communication</x:v>
      </x:c>
      <x:c r="B19" s="21" t="n">
        <x:v>20</x:v>
      </x:c>
      <x:c r="C19" s="21" t="n">
        <x:f>COUNTIF('Manifest'!$E$2:$E$141,A19)</x:f>
        <x:v>20</x:v>
      </x:c>
      <x:c r="D19" s="22" t="str">
        <x:f>IF(C19=B19,"PASS","FAIL")</x:f>
        <x:v>PASS</x:v>
      </x:c>
      <x:c r="E19" s="22"/>
    </x:row>
    <x:row r="20">
      <x:c r="A20" s="21" t="str">
        <x:v>Government &amp; public information</x:v>
      </x:c>
      <x:c r="B20" s="21" t="n">
        <x:v>20</x:v>
      </x:c>
      <x:c r="C20" s="21" t="n">
        <x:f>COUNTIF('Manifest'!$E$2:$E$141,A20)</x:f>
        <x:v>20</x:v>
      </x:c>
      <x:c r="D20" s="22" t="str">
        <x:f>IF(C20=B20,"PASS","FAIL")</x:f>
        <x:v>PASS</x:v>
      </x:c>
      <x:c r="E20" s="22"/>
    </x:row>
    <x:row r="21">
      <x:c r="A21" s="21" t="str">
        <x:v>Proposals &amp; tenders</x:v>
      </x:c>
      <x:c r="B21" s="21" t="n">
        <x:v>20</x:v>
      </x:c>
      <x:c r="C21" s="21" t="n">
        <x:f>COUNTIF('Manifest'!$E$2:$E$141,A21)</x:f>
        <x:v>20</x:v>
      </x:c>
      <x:c r="D21" s="22" t="str">
        <x:f>IF(C21=B21,"PASS","FAIL")</x:f>
        <x:v>PASS</x:v>
      </x:c>
      <x:c r="E21" s="22"/>
    </x:row>
    <x:row r="22">
      <x:c r="A22" s="21" t="str">
        <x:v>Legal &amp; contracts</x:v>
      </x:c>
      <x:c r="B22" s="21" t="n">
        <x:v>20</x:v>
      </x:c>
      <x:c r="C22" s="21" t="n">
        <x:f>COUNTIF('Manifest'!$E$2:$E$141,A22)</x:f>
        <x:v>20</x:v>
      </x:c>
      <x:c r="D22" s="22" t="str">
        <x:f>IF(C22=B22,"PASS","FAIL")</x:f>
        <x:v>PASS</x:v>
      </x:c>
      <x:c r="E22" s="22"/>
    </x:row>
    <x:row r="23">
      <x:c r="A23" s="21"/>
      <x:c r="B23" s="21"/>
      <x:c r="C23" s="21"/>
      <x:c r="D23" s="22"/>
      <x:c r="E23" s="22"/>
    </x:row>
    <x:row r="24">
      <x:c r="A24" s="21"/>
      <x:c r="B24" s="21"/>
      <x:c r="C24" s="21"/>
      <x:c r="D24" s="22"/>
      <x:c r="E24" s="22"/>
    </x:row>
    <x:row r="25">
      <x:c r="A25" s="20" t="str">
        <x:v>Topic</x:v>
      </x:c>
      <x:c r="B25" s="20" t="str">
        <x:v>Expected</x:v>
      </x:c>
      <x:c r="C25" s="20" t="str">
        <x:v>Actual</x:v>
      </x:c>
      <x:c r="D25" s="23" t="str">
        <x:v>Status</x:v>
      </x:c>
      <x:c r="E25" s="22"/>
    </x:row>
    <x:row r="26">
      <x:c r="A26" s="21" t="str">
        <x:v>Work &amp; organisations</x:v>
      </x:c>
      <x:c r="B26" s="21" t="n">
        <x:v>14</x:v>
      </x:c>
      <x:c r="C26" s="21" t="n">
        <x:f>COUNTIF('Manifest'!$F$2:$F$141,A26)</x:f>
        <x:v>14</x:v>
      </x:c>
      <x:c r="D26" s="22" t="str">
        <x:f>IF(C26=B26,"PASS","FAIL")</x:f>
        <x:v>PASS</x:v>
      </x:c>
      <x:c r="E26" s="22"/>
    </x:row>
    <x:row r="27">
      <x:c r="A27" s="21" t="str">
        <x:v>Technology &amp; digital life</x:v>
      </x:c>
      <x:c r="B27" s="21" t="n">
        <x:v>14</x:v>
      </x:c>
      <x:c r="C27" s="21" t="n">
        <x:f>COUNTIF('Manifest'!$F$2:$F$141,A27)</x:f>
        <x:v>14</x:v>
      </x:c>
      <x:c r="D27" s="22" t="str">
        <x:f>IF(C27=B27,"PASS","FAIL")</x:f>
        <x:v>PASS</x:v>
      </x:c>
      <x:c r="E27" s="22"/>
    </x:row>
    <x:row r="28">
      <x:c r="A28" s="21" t="str">
        <x:v>Health &amp; wellbeing</x:v>
      </x:c>
      <x:c r="B28" s="21" t="n">
        <x:v>14</x:v>
      </x:c>
      <x:c r="C28" s="21" t="n">
        <x:f>COUNTIF('Manifest'!$F$2:$F$141,A28)</x:f>
        <x:v>14</x:v>
      </x:c>
      <x:c r="D28" s="22" t="str">
        <x:f>IF(C28=B28,"PASS","FAIL")</x:f>
        <x:v>PASS</x:v>
      </x:c>
      <x:c r="E28" s="22"/>
    </x:row>
    <x:row r="29">
      <x:c r="A29" s="21" t="str">
        <x:v>Education &amp; learning</x:v>
      </x:c>
      <x:c r="B29" s="21" t="n">
        <x:v>14</x:v>
      </x:c>
      <x:c r="C29" s="21" t="n">
        <x:f>COUNTIF('Manifest'!$F$2:$F$141,A29)</x:f>
        <x:v>14</x:v>
      </x:c>
      <x:c r="D29" s="22" t="str">
        <x:f>IF(C29=B29,"PASS","FAIL")</x:f>
        <x:v>PASS</x:v>
      </x:c>
      <x:c r="E29" s="22"/>
    </x:row>
    <x:row r="30">
      <x:c r="A30" s="21" t="str">
        <x:v>Environment &amp; sustainability</x:v>
      </x:c>
      <x:c r="B30" s="21" t="n">
        <x:v>14</x:v>
      </x:c>
      <x:c r="C30" s="21" t="n">
        <x:f>COUNTIF('Manifest'!$F$2:$F$141,A30)</x:f>
        <x:v>14</x:v>
      </x:c>
      <x:c r="D30" s="22" t="str">
        <x:f>IF(C30=B30,"PASS","FAIL")</x:f>
        <x:v>PASS</x:v>
      </x:c>
      <x:c r="E30" s="22"/>
    </x:row>
    <x:row r="31">
      <x:c r="A31" s="21" t="str">
        <x:v>Transport, housing &amp; places</x:v>
      </x:c>
      <x:c r="B31" s="21" t="n">
        <x:v>14</x:v>
      </x:c>
      <x:c r="C31" s="21" t="n">
        <x:f>COUNTIF('Manifest'!$F$2:$F$141,A31)</x:f>
        <x:v>14</x:v>
      </x:c>
      <x:c r="D31" s="22" t="str">
        <x:f>IF(C31=B31,"PASS","FAIL")</x:f>
        <x:v>PASS</x:v>
      </x:c>
      <x:c r="E31" s="22"/>
    </x:row>
    <x:row r="32">
      <x:c r="A32" s="21" t="str">
        <x:v>Money &amp; the economy</x:v>
      </x:c>
      <x:c r="B32" s="21" t="n">
        <x:v>14</x:v>
      </x:c>
      <x:c r="C32" s="21" t="n">
        <x:f>COUNTIF('Manifest'!$F$2:$F$141,A32)</x:f>
        <x:v>14</x:v>
      </x:c>
      <x:c r="D32" s="22" t="str">
        <x:f>IF(C32=B32,"PASS","FAIL")</x:f>
        <x:v>PASS</x:v>
      </x:c>
      <x:c r="E32" s="22"/>
    </x:row>
    <x:row r="33">
      <x:c r="A33" s="21" t="str">
        <x:v>Public services &amp; civic life</x:v>
      </x:c>
      <x:c r="B33" s="21" t="n">
        <x:v>14</x:v>
      </x:c>
      <x:c r="C33" s="21" t="n">
        <x:f>COUNTIF('Manifest'!$F$2:$F$141,A33)</x:f>
        <x:v>14</x:v>
      </x:c>
      <x:c r="D33" s="22" t="str">
        <x:f>IF(C33=B33,"PASS","FAIL")</x:f>
        <x:v>PASS</x:v>
      </x:c>
      <x:c r="E33" s="22"/>
    </x:row>
    <x:row r="34">
      <x:c r="A34" s="21" t="str">
        <x:v>Family, community &amp; relationships</x:v>
      </x:c>
      <x:c r="B34" s="21" t="n">
        <x:v>14</x:v>
      </x:c>
      <x:c r="C34" s="21" t="n">
        <x:f>COUNTIF('Manifest'!$F$2:$F$141,A34)</x:f>
        <x:v>14</x:v>
      </x:c>
      <x:c r="D34" s="22" t="str">
        <x:f>IF(C34=B34,"PASS","FAIL")</x:f>
        <x:v>PASS</x:v>
      </x:c>
      <x:c r="E34" s="22"/>
    </x:row>
    <x:row r="35">
      <x:c r="A35" s="21" t="str">
        <x:v>Culture, leisure &amp; everyday life</x:v>
      </x:c>
      <x:c r="B35" s="21" t="n">
        <x:v>14</x:v>
      </x:c>
      <x:c r="C35" s="21" t="n">
        <x:f>COUNTIF('Manifest'!$F$2:$F$141,A35)</x:f>
        <x:v>14</x:v>
      </x:c>
      <x:c r="D35" s="22" t="str">
        <x:f>IF(C35=B35,"PASS","FAIL")</x:f>
        <x:v>PASS</x:v>
      </x:c>
      <x:c r="E35" s="22"/>
    </x:row>
    <x:row r="36">
      <x:c r="A36" s="21"/>
      <x:c r="B36" s="21"/>
      <x:c r="C36" s="21"/>
      <x:c r="D36" s="22"/>
      <x:c r="E36" s="22"/>
    </x:row>
    <x:row r="37">
      <x:c r="A37" s="21"/>
      <x:c r="B37" s="21"/>
      <x:c r="C37" s="21"/>
      <x:c r="D37" s="22"/>
      <x:c r="E37" s="22"/>
    </x:row>
    <x:row r="38">
      <x:c r="A38" s="20" t="str">
        <x:v>Punctuation coverage</x:v>
      </x:c>
      <x:c r="B38" s="20" t="str">
        <x:v>Target</x:v>
      </x:c>
      <x:c r="C38" s="20" t="str">
        <x:v>Actual</x:v>
      </x:c>
      <x:c r="D38" s="23" t="str">
        <x:v>Status</x:v>
      </x:c>
      <x:c r="E38" s="22"/>
    </x:row>
    <x:row r="39">
      <x:c r="A39" s="21" t="str">
        <x:v>Numeric</x:v>
      </x:c>
      <x:c r="B39" s="21" t="str">
        <x:v>35–45</x:v>
      </x:c>
      <x:c r="C39" s="21" t="n">
        <x:f>COUNTIF('Manifest'!$W$2:$W$141,"Yes")</x:f>
        <x:v>42</x:v>
      </x:c>
      <x:c r="D39" s="22" t="str">
        <x:f>IF(AND(C39&gt;=35,C39&lt;=45),"PASS","FAIL")</x:f>
        <x:v>PASS</x:v>
      </x:c>
      <x:c r="E39" s="22"/>
    </x:row>
    <x:row r="40">
      <x:c r="A40" s="21" t="str">
        <x:v>Date/time</x:v>
      </x:c>
      <x:c r="B40" s="21" t="str">
        <x:v>14–21</x:v>
      </x:c>
      <x:c r="C40" s="21" t="n">
        <x:f>COUNTIF('Manifest'!$X$2:$X$141,"Yes")</x:f>
        <x:v>18</x:v>
      </x:c>
      <x:c r="D40" s="22" t="str">
        <x:f>IF(AND(C40&gt;=14,C40&lt;=21),"PASS","FAIL")</x:f>
        <x:v>PASS</x:v>
      </x:c>
      <x:c r="E40" s="22"/>
    </x:row>
    <x:row r="41">
      <x:c r="A41" s="21" t="str">
        <x:v>% / currency / measurement</x:v>
      </x:c>
      <x:c r="B41" s="21" t="str">
        <x:v>14–21</x:v>
      </x:c>
      <x:c r="C41" s="21" t="n">
        <x:f>COUNTIF('Manifest'!$Y$2:$Y$141,"Yes")</x:f>
        <x:v>18</x:v>
      </x:c>
      <x:c r="D41" s="22" t="str">
        <x:f>IF(AND(C41&gt;=14,C41&lt;=21),"PASS","FAIL")</x:f>
        <x:v>PASS</x:v>
      </x:c>
      <x:c r="E41" s="22"/>
    </x:row>
    <x:row r="42">
      <x:c r="A42" s="21" t="str">
        <x:v>Direct quotation</x:v>
      </x:c>
      <x:c r="B42" s="21" t="str">
        <x:v>21–28</x:v>
      </x:c>
      <x:c r="C42" s="21" t="n">
        <x:f>COUNTIF('Manifest'!$Z$2:$Z$141,"Yes")</x:f>
        <x:v>24</x:v>
      </x:c>
      <x:c r="D42" s="22" t="str">
        <x:f>IF(AND(C42&gt;=21,C42&lt;=28),"PASS","FAIL")</x:f>
        <x:v>PASS</x:v>
      </x:c>
      <x:c r="E42" s="22"/>
    </x:row>
    <x:row r="43">
      <x:c r="A43" s="21" t="str">
        <x:v>Colon</x:v>
      </x:c>
      <x:c r="B43" s="21" t="str">
        <x:v>28–42</x:v>
      </x:c>
      <x:c r="C43" s="21" t="n">
        <x:f>COUNTIF('Manifest'!$AA$2:$AA$141,"Yes")</x:f>
        <x:v>35</x:v>
      </x:c>
      <x:c r="D43" s="22" t="str">
        <x:f>IF(AND(C43&gt;=28,C43&lt;=42),"PASS","FAIL")</x:f>
        <x:v>PASS</x:v>
      </x:c>
      <x:c r="E43" s="22"/>
    </x:row>
    <x:row r="44">
      <x:c r="A44" s="21" t="str">
        <x:v>Semicolon</x:v>
      </x:c>
      <x:c r="B44" s="21" t="str">
        <x:v>21–35</x:v>
      </x:c>
      <x:c r="C44" s="21" t="n">
        <x:f>COUNTIF('Manifest'!$AB$2:$AB$141,"Yes")</x:f>
        <x:v>28</x:v>
      </x:c>
      <x:c r="D44" s="22" t="str">
        <x:f>IF(AND(C44&gt;=21,C44&lt;=35),"PASS","FAIL")</x:f>
        <x:v>PASS</x:v>
      </x:c>
      <x:c r="E44" s="22"/>
    </x:row>
    <x:row r="45">
      <x:c r="A45" s="21" t="str">
        <x:v>Parentheses</x:v>
      </x:c>
      <x:c r="B45" s="21" t="str">
        <x:v>14–28</x:v>
      </x:c>
      <x:c r="C45" s="21" t="n">
        <x:f>COUNTIF('Manifest'!$AC$2:$AC$141,"Yes")</x:f>
        <x:v>21</x:v>
      </x:c>
      <x:c r="D45" s="22" t="str">
        <x:f>IF(AND(C45&gt;=14,C45&lt;=28),"PASS","FAIL")</x:f>
        <x:v>PASS</x:v>
      </x:c>
      <x:c r="E45" s="22"/>
    </x:row>
    <x:row r="46">
      <x:c r="A46" s="21" t="str">
        <x:v>Question</x:v>
      </x:c>
      <x:c r="B46" s="21" t="str">
        <x:v>21–35</x:v>
      </x:c>
      <x:c r="C46" s="21" t="n">
        <x:f>COUNTIF('Manifest'!$AD$2:$AD$141,"Yes")</x:f>
        <x:v>28</x:v>
      </x:c>
      <x:c r="D46" s="22" t="str">
        <x:f>IF(AND(C46&gt;=21,C46&lt;=35),"PASS","FAIL")</x:f>
        <x:v>PASS</x:v>
      </x:c>
      <x:c r="E46" s="22"/>
    </x:row>
    <x:row r="47">
      <x:c r="A47" s="21" t="str">
        <x:v>Exclamation</x:v>
      </x:c>
      <x:c r="B47" s="21" t="str">
        <x:v>0–7</x:v>
      </x:c>
      <x:c r="C47" s="21" t="n">
        <x:f>COUNTIF('Manifest'!$AE$2:$AE$141,"Yes")</x:f>
        <x:v>4</x:v>
      </x:c>
      <x:c r="D47" s="22" t="str">
        <x:f>IF(AND(C47&gt;=0,C47&lt;=7),"PASS","FAIL")</x:f>
        <x:v>PASS</x:v>
      </x:c>
      <x:c r="E47" s="22"/>
    </x:row>
    <x:row r="48">
      <x:c r="A48" s="21"/>
      <x:c r="B48" s="21"/>
      <x:c r="C48" s="21"/>
      <x:c r="D48" s="22"/>
      <x:c r="E48" s="22"/>
    </x:row>
    <x:row r="49">
      <x:c r="A49" s="21"/>
      <x:c r="B49" s="21"/>
      <x:c r="C49" s="21"/>
      <x:c r="D49" s="22"/>
      <x:c r="E49" s="22"/>
    </x:row>
    <x:row r="50">
      <x:c r="A50" s="20" t="str">
        <x:v>Category × Topic</x:v>
      </x:c>
      <x:c r="B50" s="20" t="str">
        <x:v>Category</x:v>
      </x:c>
      <x:c r="C50" s="20" t="str">
        <x:v>Topic</x:v>
      </x:c>
      <x:c r="D50" s="23" t="str">
        <x:v>Actual</x:v>
      </x:c>
      <x:c r="E50" s="23" t="str">
        <x:v>Status</x:v>
      </x:c>
    </x:row>
    <x:row r="51">
      <x:c r="A51" s="21" t="str">
        <x:v>ART × 1</x:v>
      </x:c>
      <x:c r="B51" s="21" t="str">
        <x:v>Articles</x:v>
      </x:c>
      <x:c r="C51" s="21" t="str">
        <x:v>Work &amp; organisations</x:v>
      </x:c>
      <x:c r="D51" s="22" t="n">
        <x:f>COUNTIFS('Manifest'!$E$2:$E$141,B51,'Manifest'!$F$2:$F$141,C51)</x:f>
        <x:v>2</x:v>
      </x:c>
      <x:c r="E51" s="22" t="str">
        <x:f>IF(D51=2,"PASS","FAIL")</x:f>
        <x:v>PASS</x:v>
      </x:c>
    </x:row>
    <x:row r="52">
      <x:c r="A52" s="21" t="str">
        <x:v>ART × 2</x:v>
      </x:c>
      <x:c r="B52" s="21" t="str">
        <x:v>Articles</x:v>
      </x:c>
      <x:c r="C52" s="21" t="str">
        <x:v>Technology &amp; digital life</x:v>
      </x:c>
      <x:c r="D52" s="22" t="n">
        <x:f>COUNTIFS('Manifest'!$E$2:$E$141,B52,'Manifest'!$F$2:$F$141,C52)</x:f>
        <x:v>2</x:v>
      </x:c>
      <x:c r="E52" s="22" t="str">
        <x:f>IF(D52=2,"PASS","FAIL")</x:f>
        <x:v>PASS</x:v>
      </x:c>
    </x:row>
    <x:row r="53">
      <x:c r="A53" s="21" t="str">
        <x:v>ART × 3</x:v>
      </x:c>
      <x:c r="B53" s="21" t="str">
        <x:v>Articles</x:v>
      </x:c>
      <x:c r="C53" s="21" t="str">
        <x:v>Health &amp; wellbeing</x:v>
      </x:c>
      <x:c r="D53" s="22" t="n">
        <x:f>COUNTIFS('Manifest'!$E$2:$E$141,B53,'Manifest'!$F$2:$F$141,C53)</x:f>
        <x:v>2</x:v>
      </x:c>
      <x:c r="E53" s="22" t="str">
        <x:f>IF(D53=2,"PASS","FAIL")</x:f>
        <x:v>PASS</x:v>
      </x:c>
    </x:row>
    <x:row r="54">
      <x:c r="A54" s="21" t="str">
        <x:v>ART × 4</x:v>
      </x:c>
      <x:c r="B54" s="21" t="str">
        <x:v>Articles</x:v>
      </x:c>
      <x:c r="C54" s="21" t="str">
        <x:v>Education &amp; learning</x:v>
      </x:c>
      <x:c r="D54" s="22" t="n">
        <x:f>COUNTIFS('Manifest'!$E$2:$E$141,B54,'Manifest'!$F$2:$F$141,C54)</x:f>
        <x:v>2</x:v>
      </x:c>
      <x:c r="E54" s="22" t="str">
        <x:f>IF(D54=2,"PASS","FAIL")</x:f>
        <x:v>PASS</x:v>
      </x:c>
    </x:row>
    <x:row r="55">
      <x:c r="A55" s="21" t="str">
        <x:v>ART × 5</x:v>
      </x:c>
      <x:c r="B55" s="21" t="str">
        <x:v>Articles</x:v>
      </x:c>
      <x:c r="C55" s="21" t="str">
        <x:v>Environment &amp; sustainability</x:v>
      </x:c>
      <x:c r="D55" s="22" t="n">
        <x:f>COUNTIFS('Manifest'!$E$2:$E$141,B55,'Manifest'!$F$2:$F$141,C55)</x:f>
        <x:v>2</x:v>
      </x:c>
      <x:c r="E55" s="22" t="str">
        <x:f>IF(D55=2,"PASS","FAIL")</x:f>
        <x:v>PASS</x:v>
      </x:c>
    </x:row>
    <x:row r="56">
      <x:c r="A56" s="21" t="str">
        <x:v>ART × 6</x:v>
      </x:c>
      <x:c r="B56" s="21" t="str">
        <x:v>Articles</x:v>
      </x:c>
      <x:c r="C56" s="21" t="str">
        <x:v>Transport, housing &amp; places</x:v>
      </x:c>
      <x:c r="D56" s="22" t="n">
        <x:f>COUNTIFS('Manifest'!$E$2:$E$141,B56,'Manifest'!$F$2:$F$141,C56)</x:f>
        <x:v>2</x:v>
      </x:c>
      <x:c r="E56" s="22" t="str">
        <x:f>IF(D56=2,"PASS","FAIL")</x:f>
        <x:v>PASS</x:v>
      </x:c>
    </x:row>
    <x:row r="57">
      <x:c r="A57" s="21" t="str">
        <x:v>ART × 7</x:v>
      </x:c>
      <x:c r="B57" s="21" t="str">
        <x:v>Articles</x:v>
      </x:c>
      <x:c r="C57" s="21" t="str">
        <x:v>Money &amp; the economy</x:v>
      </x:c>
      <x:c r="D57" s="22" t="n">
        <x:f>COUNTIFS('Manifest'!$E$2:$E$141,B57,'Manifest'!$F$2:$F$141,C57)</x:f>
        <x:v>2</x:v>
      </x:c>
      <x:c r="E57" s="22" t="str">
        <x:f>IF(D57=2,"PASS","FAIL")</x:f>
        <x:v>PASS</x:v>
      </x:c>
    </x:row>
    <x:row r="58">
      <x:c r="A58" s="21" t="str">
        <x:v>ART × 8</x:v>
      </x:c>
      <x:c r="B58" s="21" t="str">
        <x:v>Articles</x:v>
      </x:c>
      <x:c r="C58" s="21" t="str">
        <x:v>Public services &amp; civic life</x:v>
      </x:c>
      <x:c r="D58" s="22" t="n">
        <x:f>COUNTIFS('Manifest'!$E$2:$E$141,B58,'Manifest'!$F$2:$F$141,C58)</x:f>
        <x:v>2</x:v>
      </x:c>
      <x:c r="E58" s="22" t="str">
        <x:f>IF(D58=2,"PASS","FAIL")</x:f>
        <x:v>PASS</x:v>
      </x:c>
    </x:row>
    <x:row r="59">
      <x:c r="A59" s="21" t="str">
        <x:v>ART × 9</x:v>
      </x:c>
      <x:c r="B59" s="21" t="str">
        <x:v>Articles</x:v>
      </x:c>
      <x:c r="C59" s="21" t="str">
        <x:v>Family, community &amp; relationships</x:v>
      </x:c>
      <x:c r="D59" s="22" t="n">
        <x:f>COUNTIFS('Manifest'!$E$2:$E$141,B59,'Manifest'!$F$2:$F$141,C59)</x:f>
        <x:v>2</x:v>
      </x:c>
      <x:c r="E59" s="22" t="str">
        <x:f>IF(D59=2,"PASS","FAIL")</x:f>
        <x:v>PASS</x:v>
      </x:c>
    </x:row>
    <x:row r="60">
      <x:c r="A60" s="21" t="str">
        <x:v>ART × 10</x:v>
      </x:c>
      <x:c r="B60" s="21" t="str">
        <x:v>Articles</x:v>
      </x:c>
      <x:c r="C60" s="21" t="str">
        <x:v>Culture, leisure &amp; everyday life</x:v>
      </x:c>
      <x:c r="D60" s="22" t="n">
        <x:f>COUNTIFS('Manifest'!$E$2:$E$141,B60,'Manifest'!$F$2:$F$141,C60)</x:f>
        <x:v>2</x:v>
      </x:c>
      <x:c r="E60" s="22" t="str">
        <x:f>IF(D60=2,"PASS","FAIL")</x:f>
        <x:v>PASS</x:v>
      </x:c>
    </x:row>
    <x:row r="61">
      <x:c r="A61" s="21" t="str">
        <x:v>PER × 1</x:v>
      </x:c>
      <x:c r="B61" s="21" t="str">
        <x:v>Personal writing</x:v>
      </x:c>
      <x:c r="C61" s="21" t="str">
        <x:v>Work &amp; organisations</x:v>
      </x:c>
      <x:c r="D61" s="22" t="n">
        <x:f>COUNTIFS('Manifest'!$E$2:$E$141,B61,'Manifest'!$F$2:$F$141,C61)</x:f>
        <x:v>2</x:v>
      </x:c>
      <x:c r="E61" s="22" t="str">
        <x:f>IF(D61=2,"PASS","FAIL")</x:f>
        <x:v>PASS</x:v>
      </x:c>
    </x:row>
    <x:row r="62">
      <x:c r="A62" s="21" t="str">
        <x:v>PER × 2</x:v>
      </x:c>
      <x:c r="B62" s="21" t="str">
        <x:v>Personal writing</x:v>
      </x:c>
      <x:c r="C62" s="21" t="str">
        <x:v>Technology &amp; digital life</x:v>
      </x:c>
      <x:c r="D62" s="22" t="n">
        <x:f>COUNTIFS('Manifest'!$E$2:$E$141,B62,'Manifest'!$F$2:$F$141,C62)</x:f>
        <x:v>2</x:v>
      </x:c>
      <x:c r="E62" s="22" t="str">
        <x:f>IF(D62=2,"PASS","FAIL")</x:f>
        <x:v>PASS</x:v>
      </x:c>
    </x:row>
    <x:row r="63">
      <x:c r="A63" s="21" t="str">
        <x:v>PER × 3</x:v>
      </x:c>
      <x:c r="B63" s="21" t="str">
        <x:v>Personal writing</x:v>
      </x:c>
      <x:c r="C63" s="21" t="str">
        <x:v>Health &amp; wellbeing</x:v>
      </x:c>
      <x:c r="D63" s="22" t="n">
        <x:f>COUNTIFS('Manifest'!$E$2:$E$141,B63,'Manifest'!$F$2:$F$141,C63)</x:f>
        <x:v>2</x:v>
      </x:c>
      <x:c r="E63" s="22" t="str">
        <x:f>IF(D63=2,"PASS","FAIL")</x:f>
        <x:v>PASS</x:v>
      </x:c>
    </x:row>
    <x:row r="64">
      <x:c r="A64" s="21" t="str">
        <x:v>PER × 4</x:v>
      </x:c>
      <x:c r="B64" s="21" t="str">
        <x:v>Personal writing</x:v>
      </x:c>
      <x:c r="C64" s="21" t="str">
        <x:v>Education &amp; learning</x:v>
      </x:c>
      <x:c r="D64" s="22" t="n">
        <x:f>COUNTIFS('Manifest'!$E$2:$E$141,B64,'Manifest'!$F$2:$F$141,C64)</x:f>
        <x:v>2</x:v>
      </x:c>
      <x:c r="E64" s="22" t="str">
        <x:f>IF(D64=2,"PASS","FAIL")</x:f>
        <x:v>PASS</x:v>
      </x:c>
    </x:row>
    <x:row r="65">
      <x:c r="A65" s="21" t="str">
        <x:v>PER × 5</x:v>
      </x:c>
      <x:c r="B65" s="21" t="str">
        <x:v>Personal writing</x:v>
      </x:c>
      <x:c r="C65" s="21" t="str">
        <x:v>Environment &amp; sustainability</x:v>
      </x:c>
      <x:c r="D65" s="22" t="n">
        <x:f>COUNTIFS('Manifest'!$E$2:$E$141,B65,'Manifest'!$F$2:$F$141,C65)</x:f>
        <x:v>2</x:v>
      </x:c>
      <x:c r="E65" s="22" t="str">
        <x:f>IF(D65=2,"PASS","FAIL")</x:f>
        <x:v>PASS</x:v>
      </x:c>
    </x:row>
    <x:row r="66">
      <x:c r="A66" s="21" t="str">
        <x:v>PER × 6</x:v>
      </x:c>
      <x:c r="B66" s="21" t="str">
        <x:v>Personal writing</x:v>
      </x:c>
      <x:c r="C66" s="21" t="str">
        <x:v>Transport, housing &amp; places</x:v>
      </x:c>
      <x:c r="D66" s="22" t="n">
        <x:f>COUNTIFS('Manifest'!$E$2:$E$141,B66,'Manifest'!$F$2:$F$141,C66)</x:f>
        <x:v>2</x:v>
      </x:c>
      <x:c r="E66" s="22" t="str">
        <x:f>IF(D66=2,"PASS","FAIL")</x:f>
        <x:v>PASS</x:v>
      </x:c>
    </x:row>
    <x:row r="67">
      <x:c r="A67" s="21" t="str">
        <x:v>PER × 7</x:v>
      </x:c>
      <x:c r="B67" s="21" t="str">
        <x:v>Personal writing</x:v>
      </x:c>
      <x:c r="C67" s="21" t="str">
        <x:v>Money &amp; the economy</x:v>
      </x:c>
      <x:c r="D67" s="22" t="n">
        <x:f>COUNTIFS('Manifest'!$E$2:$E$141,B67,'Manifest'!$F$2:$F$141,C67)</x:f>
        <x:v>2</x:v>
      </x:c>
      <x:c r="E67" s="22" t="str">
        <x:f>IF(D67=2,"PASS","FAIL")</x:f>
        <x:v>PASS</x:v>
      </x:c>
    </x:row>
    <x:row r="68">
      <x:c r="A68" s="21" t="str">
        <x:v>PER × 8</x:v>
      </x:c>
      <x:c r="B68" s="21" t="str">
        <x:v>Personal writing</x:v>
      </x:c>
      <x:c r="C68" s="21" t="str">
        <x:v>Public services &amp; civic life</x:v>
      </x:c>
      <x:c r="D68" s="22" t="n">
        <x:f>COUNTIFS('Manifest'!$E$2:$E$141,B68,'Manifest'!$F$2:$F$141,C68)</x:f>
        <x:v>2</x:v>
      </x:c>
      <x:c r="E68" s="22" t="str">
        <x:f>IF(D68=2,"PASS","FAIL")</x:f>
        <x:v>PASS</x:v>
      </x:c>
    </x:row>
    <x:row r="69">
      <x:c r="A69" s="21" t="str">
        <x:v>PER × 9</x:v>
      </x:c>
      <x:c r="B69" s="21" t="str">
        <x:v>Personal writing</x:v>
      </x:c>
      <x:c r="C69" s="21" t="str">
        <x:v>Family, community &amp; relationships</x:v>
      </x:c>
      <x:c r="D69" s="22" t="n">
        <x:f>COUNTIFS('Manifest'!$E$2:$E$141,B69,'Manifest'!$F$2:$F$141,C69)</x:f>
        <x:v>2</x:v>
      </x:c>
      <x:c r="E69" s="22" t="str">
        <x:f>IF(D69=2,"PASS","FAIL")</x:f>
        <x:v>PASS</x:v>
      </x:c>
    </x:row>
    <x:row r="70">
      <x:c r="A70" s="21" t="str">
        <x:v>PER × 10</x:v>
      </x:c>
      <x:c r="B70" s="21" t="str">
        <x:v>Personal writing</x:v>
      </x:c>
      <x:c r="C70" s="21" t="str">
        <x:v>Culture, leisure &amp; everyday life</x:v>
      </x:c>
      <x:c r="D70" s="22" t="n">
        <x:f>COUNTIFS('Manifest'!$E$2:$E$141,B70,'Manifest'!$F$2:$F$141,C70)</x:f>
        <x:v>2</x:v>
      </x:c>
      <x:c r="E70" s="22" t="str">
        <x:f>IF(D70=2,"PASS","FAIL")</x:f>
        <x:v>PASS</x:v>
      </x:c>
    </x:row>
    <x:row r="71">
      <x:c r="A71" s="21" t="str">
        <x:v>NEW × 1</x:v>
      </x:c>
      <x:c r="B71" s="21" t="str">
        <x:v>News</x:v>
      </x:c>
      <x:c r="C71" s="21" t="str">
        <x:v>Work &amp; organisations</x:v>
      </x:c>
      <x:c r="D71" s="22" t="n">
        <x:f>COUNTIFS('Manifest'!$E$2:$E$141,B71,'Manifest'!$F$2:$F$141,C71)</x:f>
        <x:v>2</x:v>
      </x:c>
      <x:c r="E71" s="22" t="str">
        <x:f>IF(D71=2,"PASS","FAIL")</x:f>
        <x:v>PASS</x:v>
      </x:c>
    </x:row>
    <x:row r="72">
      <x:c r="A72" s="21" t="str">
        <x:v>NEW × 2</x:v>
      </x:c>
      <x:c r="B72" s="21" t="str">
        <x:v>News</x:v>
      </x:c>
      <x:c r="C72" s="21" t="str">
        <x:v>Technology &amp; digital life</x:v>
      </x:c>
      <x:c r="D72" s="22" t="n">
        <x:f>COUNTIFS('Manifest'!$E$2:$E$141,B72,'Manifest'!$F$2:$F$141,C72)</x:f>
        <x:v>2</x:v>
      </x:c>
      <x:c r="E72" s="22" t="str">
        <x:f>IF(D72=2,"PASS","FAIL")</x:f>
        <x:v>PASS</x:v>
      </x:c>
    </x:row>
    <x:row r="73">
      <x:c r="A73" s="21" t="str">
        <x:v>NEW × 3</x:v>
      </x:c>
      <x:c r="B73" s="21" t="str">
        <x:v>News</x:v>
      </x:c>
      <x:c r="C73" s="21" t="str">
        <x:v>Health &amp; wellbeing</x:v>
      </x:c>
      <x:c r="D73" s="22" t="n">
        <x:f>COUNTIFS('Manifest'!$E$2:$E$141,B73,'Manifest'!$F$2:$F$141,C73)</x:f>
        <x:v>2</x:v>
      </x:c>
      <x:c r="E73" s="22" t="str">
        <x:f>IF(D73=2,"PASS","FAIL")</x:f>
        <x:v>PASS</x:v>
      </x:c>
    </x:row>
    <x:row r="74">
      <x:c r="A74" s="21" t="str">
        <x:v>NEW × 4</x:v>
      </x:c>
      <x:c r="B74" s="21" t="str">
        <x:v>News</x:v>
      </x:c>
      <x:c r="C74" s="21" t="str">
        <x:v>Education &amp; learning</x:v>
      </x:c>
      <x:c r="D74" s="22" t="n">
        <x:f>COUNTIFS('Manifest'!$E$2:$E$141,B74,'Manifest'!$F$2:$F$141,C74)</x:f>
        <x:v>2</x:v>
      </x:c>
      <x:c r="E74" s="22" t="str">
        <x:f>IF(D74=2,"PASS","FAIL")</x:f>
        <x:v>PASS</x:v>
      </x:c>
    </x:row>
    <x:row r="75">
      <x:c r="A75" s="21" t="str">
        <x:v>NEW × 5</x:v>
      </x:c>
      <x:c r="B75" s="21" t="str">
        <x:v>News</x:v>
      </x:c>
      <x:c r="C75" s="21" t="str">
        <x:v>Environment &amp; sustainability</x:v>
      </x:c>
      <x:c r="D75" s="22" t="n">
        <x:f>COUNTIFS('Manifest'!$E$2:$E$141,B75,'Manifest'!$F$2:$F$141,C75)</x:f>
        <x:v>2</x:v>
      </x:c>
      <x:c r="E75" s="22" t="str">
        <x:f>IF(D75=2,"PASS","FAIL")</x:f>
        <x:v>PASS</x:v>
      </x:c>
    </x:row>
    <x:row r="76">
      <x:c r="A76" s="21" t="str">
        <x:v>NEW × 6</x:v>
      </x:c>
      <x:c r="B76" s="21" t="str">
        <x:v>News</x:v>
      </x:c>
      <x:c r="C76" s="21" t="str">
        <x:v>Transport, housing &amp; places</x:v>
      </x:c>
      <x:c r="D76" s="22" t="n">
        <x:f>COUNTIFS('Manifest'!$E$2:$E$141,B76,'Manifest'!$F$2:$F$141,C76)</x:f>
        <x:v>2</x:v>
      </x:c>
      <x:c r="E76" s="22" t="str">
        <x:f>IF(D76=2,"PASS","FAIL")</x:f>
        <x:v>PASS</x:v>
      </x:c>
    </x:row>
    <x:row r="77">
      <x:c r="A77" s="21" t="str">
        <x:v>NEW × 7</x:v>
      </x:c>
      <x:c r="B77" s="21" t="str">
        <x:v>News</x:v>
      </x:c>
      <x:c r="C77" s="21" t="str">
        <x:v>Money &amp; the economy</x:v>
      </x:c>
      <x:c r="D77" s="22" t="n">
        <x:f>COUNTIFS('Manifest'!$E$2:$E$141,B77,'Manifest'!$F$2:$F$141,C77)</x:f>
        <x:v>2</x:v>
      </x:c>
      <x:c r="E77" s="22" t="str">
        <x:f>IF(D77=2,"PASS","FAIL")</x:f>
        <x:v>PASS</x:v>
      </x:c>
    </x:row>
    <x:row r="78">
      <x:c r="A78" s="21" t="str">
        <x:v>NEW × 8</x:v>
      </x:c>
      <x:c r="B78" s="21" t="str">
        <x:v>News</x:v>
      </x:c>
      <x:c r="C78" s="21" t="str">
        <x:v>Public services &amp; civic life</x:v>
      </x:c>
      <x:c r="D78" s="22" t="n">
        <x:f>COUNTIFS('Manifest'!$E$2:$E$141,B78,'Manifest'!$F$2:$F$141,C78)</x:f>
        <x:v>2</x:v>
      </x:c>
      <x:c r="E78" s="22" t="str">
        <x:f>IF(D78=2,"PASS","FAIL")</x:f>
        <x:v>PASS</x:v>
      </x:c>
    </x:row>
    <x:row r="79">
      <x:c r="A79" s="21" t="str">
        <x:v>NEW × 9</x:v>
      </x:c>
      <x:c r="B79" s="21" t="str">
        <x:v>News</x:v>
      </x:c>
      <x:c r="C79" s="21" t="str">
        <x:v>Family, community &amp; relationships</x:v>
      </x:c>
      <x:c r="D79" s="22" t="n">
        <x:f>COUNTIFS('Manifest'!$E$2:$E$141,B79,'Manifest'!$F$2:$F$141,C79)</x:f>
        <x:v>2</x:v>
      </x:c>
      <x:c r="E79" s="22" t="str">
        <x:f>IF(D79=2,"PASS","FAIL")</x:f>
        <x:v>PASS</x:v>
      </x:c>
    </x:row>
    <x:row r="80">
      <x:c r="A80" s="21" t="str">
        <x:v>NEW × 10</x:v>
      </x:c>
      <x:c r="B80" s="21" t="str">
        <x:v>News</x:v>
      </x:c>
      <x:c r="C80" s="21" t="str">
        <x:v>Culture, leisure &amp; everyday life</x:v>
      </x:c>
      <x:c r="D80" s="22" t="n">
        <x:f>COUNTIFS('Manifest'!$E$2:$E$141,B80,'Manifest'!$F$2:$F$141,C80)</x:f>
        <x:v>2</x:v>
      </x:c>
      <x:c r="E80" s="22" t="str">
        <x:f>IF(D80=2,"PASS","FAIL")</x:f>
        <x:v>PASS</x:v>
      </x:c>
    </x:row>
    <x:row r="81">
      <x:c r="A81" s="21" t="str">
        <x:v>BUS × 1</x:v>
      </x:c>
      <x:c r="B81" s="21" t="str">
        <x:v>Business communication</x:v>
      </x:c>
      <x:c r="C81" s="21" t="str">
        <x:v>Work &amp; organisations</x:v>
      </x:c>
      <x:c r="D81" s="22" t="n">
        <x:f>COUNTIFS('Manifest'!$E$2:$E$141,B81,'Manifest'!$F$2:$F$141,C81)</x:f>
        <x:v>2</x:v>
      </x:c>
      <x:c r="E81" s="22" t="str">
        <x:f>IF(D81=2,"PASS","FAIL")</x:f>
        <x:v>PASS</x:v>
      </x:c>
    </x:row>
    <x:row r="82">
      <x:c r="A82" s="21" t="str">
        <x:v>BUS × 2</x:v>
      </x:c>
      <x:c r="B82" s="21" t="str">
        <x:v>Business communication</x:v>
      </x:c>
      <x:c r="C82" s="21" t="str">
        <x:v>Technology &amp; digital life</x:v>
      </x:c>
      <x:c r="D82" s="22" t="n">
        <x:f>COUNTIFS('Manifest'!$E$2:$E$141,B82,'Manifest'!$F$2:$F$141,C82)</x:f>
        <x:v>2</x:v>
      </x:c>
      <x:c r="E82" s="22" t="str">
        <x:f>IF(D82=2,"PASS","FAIL")</x:f>
        <x:v>PASS</x:v>
      </x:c>
    </x:row>
    <x:row r="83">
      <x:c r="A83" s="21" t="str">
        <x:v>BUS × 3</x:v>
      </x:c>
      <x:c r="B83" s="21" t="str">
        <x:v>Business communication</x:v>
      </x:c>
      <x:c r="C83" s="21" t="str">
        <x:v>Health &amp; wellbeing</x:v>
      </x:c>
      <x:c r="D83" s="22" t="n">
        <x:f>COUNTIFS('Manifest'!$E$2:$E$141,B83,'Manifest'!$F$2:$F$141,C83)</x:f>
        <x:v>2</x:v>
      </x:c>
      <x:c r="E83" s="22" t="str">
        <x:f>IF(D83=2,"PASS","FAIL")</x:f>
        <x:v>PASS</x:v>
      </x:c>
    </x:row>
    <x:row r="84">
      <x:c r="A84" s="21" t="str">
        <x:v>BUS × 4</x:v>
      </x:c>
      <x:c r="B84" s="21" t="str">
        <x:v>Business communication</x:v>
      </x:c>
      <x:c r="C84" s="21" t="str">
        <x:v>Education &amp; learning</x:v>
      </x:c>
      <x:c r="D84" s="22" t="n">
        <x:f>COUNTIFS('Manifest'!$E$2:$E$141,B84,'Manifest'!$F$2:$F$141,C84)</x:f>
        <x:v>2</x:v>
      </x:c>
      <x:c r="E84" s="22" t="str">
        <x:f>IF(D84=2,"PASS","FAIL")</x:f>
        <x:v>PASS</x:v>
      </x:c>
    </x:row>
    <x:row r="85">
      <x:c r="A85" s="21" t="str">
        <x:v>BUS × 5</x:v>
      </x:c>
      <x:c r="B85" s="21" t="str">
        <x:v>Business communication</x:v>
      </x:c>
      <x:c r="C85" s="21" t="str">
        <x:v>Environment &amp; sustainability</x:v>
      </x:c>
      <x:c r="D85" s="22" t="n">
        <x:f>COUNTIFS('Manifest'!$E$2:$E$141,B85,'Manifest'!$F$2:$F$141,C85)</x:f>
        <x:v>2</x:v>
      </x:c>
      <x:c r="E85" s="22" t="str">
        <x:f>IF(D85=2,"PASS","FAIL")</x:f>
        <x:v>PASS</x:v>
      </x:c>
    </x:row>
    <x:row r="86">
      <x:c r="A86" s="21" t="str">
        <x:v>BUS × 6</x:v>
      </x:c>
      <x:c r="B86" s="21" t="str">
        <x:v>Business communication</x:v>
      </x:c>
      <x:c r="C86" s="21" t="str">
        <x:v>Transport, housing &amp; places</x:v>
      </x:c>
      <x:c r="D86" s="22" t="n">
        <x:f>COUNTIFS('Manifest'!$E$2:$E$141,B86,'Manifest'!$F$2:$F$141,C86)</x:f>
        <x:v>2</x:v>
      </x:c>
      <x:c r="E86" s="22" t="str">
        <x:f>IF(D86=2,"PASS","FAIL")</x:f>
        <x:v>PASS</x:v>
      </x:c>
    </x:row>
    <x:row r="87">
      <x:c r="A87" s="21" t="str">
        <x:v>BUS × 7</x:v>
      </x:c>
      <x:c r="B87" s="21" t="str">
        <x:v>Business communication</x:v>
      </x:c>
      <x:c r="C87" s="21" t="str">
        <x:v>Money &amp; the economy</x:v>
      </x:c>
      <x:c r="D87" s="22" t="n">
        <x:f>COUNTIFS('Manifest'!$E$2:$E$141,B87,'Manifest'!$F$2:$F$141,C87)</x:f>
        <x:v>2</x:v>
      </x:c>
      <x:c r="E87" s="22" t="str">
        <x:f>IF(D87=2,"PASS","FAIL")</x:f>
        <x:v>PASS</x:v>
      </x:c>
    </x:row>
    <x:row r="88">
      <x:c r="A88" s="21" t="str">
        <x:v>BUS × 8</x:v>
      </x:c>
      <x:c r="B88" s="21" t="str">
        <x:v>Business communication</x:v>
      </x:c>
      <x:c r="C88" s="21" t="str">
        <x:v>Public services &amp; civic life</x:v>
      </x:c>
      <x:c r="D88" s="22" t="n">
        <x:f>COUNTIFS('Manifest'!$E$2:$E$141,B88,'Manifest'!$F$2:$F$141,C88)</x:f>
        <x:v>2</x:v>
      </x:c>
      <x:c r="E88" s="22" t="str">
        <x:f>IF(D88=2,"PASS","FAIL")</x:f>
        <x:v>PASS</x:v>
      </x:c>
    </x:row>
    <x:row r="89">
      <x:c r="A89" s="21" t="str">
        <x:v>BUS × 9</x:v>
      </x:c>
      <x:c r="B89" s="21" t="str">
        <x:v>Business communication</x:v>
      </x:c>
      <x:c r="C89" s="21" t="str">
        <x:v>Family, community &amp; relationships</x:v>
      </x:c>
      <x:c r="D89" s="22" t="n">
        <x:f>COUNTIFS('Manifest'!$E$2:$E$141,B89,'Manifest'!$F$2:$F$141,C89)</x:f>
        <x:v>2</x:v>
      </x:c>
      <x:c r="E89" s="22" t="str">
        <x:f>IF(D89=2,"PASS","FAIL")</x:f>
        <x:v>PASS</x:v>
      </x:c>
    </x:row>
    <x:row r="90">
      <x:c r="A90" s="21" t="str">
        <x:v>BUS × 10</x:v>
      </x:c>
      <x:c r="B90" s="21" t="str">
        <x:v>Business communication</x:v>
      </x:c>
      <x:c r="C90" s="21" t="str">
        <x:v>Culture, leisure &amp; everyday life</x:v>
      </x:c>
      <x:c r="D90" s="22" t="n">
        <x:f>COUNTIFS('Manifest'!$E$2:$E$141,B90,'Manifest'!$F$2:$F$141,C90)</x:f>
        <x:v>2</x:v>
      </x:c>
      <x:c r="E90" s="22" t="str">
        <x:f>IF(D90=2,"PASS","FAIL")</x:f>
        <x:v>PASS</x:v>
      </x:c>
    </x:row>
    <x:row r="91">
      <x:c r="A91" s="21" t="str">
        <x:v>GOV × 1</x:v>
      </x:c>
      <x:c r="B91" s="21" t="str">
        <x:v>Government &amp; public information</x:v>
      </x:c>
      <x:c r="C91" s="21" t="str">
        <x:v>Work &amp; organisations</x:v>
      </x:c>
      <x:c r="D91" s="22" t="n">
        <x:f>COUNTIFS('Manifest'!$E$2:$E$141,B91,'Manifest'!$F$2:$F$141,C91)</x:f>
        <x:v>2</x:v>
      </x:c>
      <x:c r="E91" s="22" t="str">
        <x:f>IF(D91=2,"PASS","FAIL")</x:f>
        <x:v>PASS</x:v>
      </x:c>
    </x:row>
    <x:row r="92">
      <x:c r="A92" s="21" t="str">
        <x:v>GOV × 2</x:v>
      </x:c>
      <x:c r="B92" s="21" t="str">
        <x:v>Government &amp; public information</x:v>
      </x:c>
      <x:c r="C92" s="21" t="str">
        <x:v>Technology &amp; digital life</x:v>
      </x:c>
      <x:c r="D92" s="22" t="n">
        <x:f>COUNTIFS('Manifest'!$E$2:$E$141,B92,'Manifest'!$F$2:$F$141,C92)</x:f>
        <x:v>2</x:v>
      </x:c>
      <x:c r="E92" s="22" t="str">
        <x:f>IF(D92=2,"PASS","FAIL")</x:f>
        <x:v>PASS</x:v>
      </x:c>
    </x:row>
    <x:row r="93">
      <x:c r="A93" s="21" t="str">
        <x:v>GOV × 3</x:v>
      </x:c>
      <x:c r="B93" s="21" t="str">
        <x:v>Government &amp; public information</x:v>
      </x:c>
      <x:c r="C93" s="21" t="str">
        <x:v>Health &amp; wellbeing</x:v>
      </x:c>
      <x:c r="D93" s="22" t="n">
        <x:f>COUNTIFS('Manifest'!$E$2:$E$141,B93,'Manifest'!$F$2:$F$141,C93)</x:f>
        <x:v>2</x:v>
      </x:c>
      <x:c r="E93" s="22" t="str">
        <x:f>IF(D93=2,"PASS","FAIL")</x:f>
        <x:v>PASS</x:v>
      </x:c>
    </x:row>
    <x:row r="94">
      <x:c r="A94" s="21" t="str">
        <x:v>GOV × 4</x:v>
      </x:c>
      <x:c r="B94" s="21" t="str">
        <x:v>Government &amp; public information</x:v>
      </x:c>
      <x:c r="C94" s="21" t="str">
        <x:v>Education &amp; learning</x:v>
      </x:c>
      <x:c r="D94" s="22" t="n">
        <x:f>COUNTIFS('Manifest'!$E$2:$E$141,B94,'Manifest'!$F$2:$F$141,C94)</x:f>
        <x:v>2</x:v>
      </x:c>
      <x:c r="E94" s="22" t="str">
        <x:f>IF(D94=2,"PASS","FAIL")</x:f>
        <x:v>PASS</x:v>
      </x:c>
    </x:row>
    <x:row r="95">
      <x:c r="A95" s="21" t="str">
        <x:v>GOV × 5</x:v>
      </x:c>
      <x:c r="B95" s="21" t="str">
        <x:v>Government &amp; public information</x:v>
      </x:c>
      <x:c r="C95" s="21" t="str">
        <x:v>Environment &amp; sustainability</x:v>
      </x:c>
      <x:c r="D95" s="22" t="n">
        <x:f>COUNTIFS('Manifest'!$E$2:$E$141,B95,'Manifest'!$F$2:$F$141,C95)</x:f>
        <x:v>2</x:v>
      </x:c>
      <x:c r="E95" s="22" t="str">
        <x:f>IF(D95=2,"PASS","FAIL")</x:f>
        <x:v>PASS</x:v>
      </x:c>
    </x:row>
    <x:row r="96">
      <x:c r="A96" s="21" t="str">
        <x:v>GOV × 6</x:v>
      </x:c>
      <x:c r="B96" s="21" t="str">
        <x:v>Government &amp; public information</x:v>
      </x:c>
      <x:c r="C96" s="21" t="str">
        <x:v>Transport, housing &amp; places</x:v>
      </x:c>
      <x:c r="D96" s="22" t="n">
        <x:f>COUNTIFS('Manifest'!$E$2:$E$141,B96,'Manifest'!$F$2:$F$141,C96)</x:f>
        <x:v>2</x:v>
      </x:c>
      <x:c r="E96" s="22" t="str">
        <x:f>IF(D96=2,"PASS","FAIL")</x:f>
        <x:v>PASS</x:v>
      </x:c>
    </x:row>
    <x:row r="97">
      <x:c r="A97" s="21" t="str">
        <x:v>GOV × 7</x:v>
      </x:c>
      <x:c r="B97" s="21" t="str">
        <x:v>Government &amp; public information</x:v>
      </x:c>
      <x:c r="C97" s="21" t="str">
        <x:v>Money &amp; the economy</x:v>
      </x:c>
      <x:c r="D97" s="22" t="n">
        <x:f>COUNTIFS('Manifest'!$E$2:$E$141,B97,'Manifest'!$F$2:$F$141,C97)</x:f>
        <x:v>2</x:v>
      </x:c>
      <x:c r="E97" s="22" t="str">
        <x:f>IF(D97=2,"PASS","FAIL")</x:f>
        <x:v>PASS</x:v>
      </x:c>
    </x:row>
    <x:row r="98">
      <x:c r="A98" s="21" t="str">
        <x:v>GOV × 8</x:v>
      </x:c>
      <x:c r="B98" s="21" t="str">
        <x:v>Government &amp; public information</x:v>
      </x:c>
      <x:c r="C98" s="21" t="str">
        <x:v>Public services &amp; civic life</x:v>
      </x:c>
      <x:c r="D98" s="22" t="n">
        <x:f>COUNTIFS('Manifest'!$E$2:$E$141,B98,'Manifest'!$F$2:$F$141,C98)</x:f>
        <x:v>2</x:v>
      </x:c>
      <x:c r="E98" s="22" t="str">
        <x:f>IF(D98=2,"PASS","FAIL")</x:f>
        <x:v>PASS</x:v>
      </x:c>
    </x:row>
    <x:row r="99">
      <x:c r="A99" s="21" t="str">
        <x:v>GOV × 9</x:v>
      </x:c>
      <x:c r="B99" s="21" t="str">
        <x:v>Government &amp; public information</x:v>
      </x:c>
      <x:c r="C99" s="21" t="str">
        <x:v>Family, community &amp; relationships</x:v>
      </x:c>
      <x:c r="D99" s="22" t="n">
        <x:f>COUNTIFS('Manifest'!$E$2:$E$141,B99,'Manifest'!$F$2:$F$141,C99)</x:f>
        <x:v>2</x:v>
      </x:c>
      <x:c r="E99" s="22" t="str">
        <x:f>IF(D99=2,"PASS","FAIL")</x:f>
        <x:v>PASS</x:v>
      </x:c>
    </x:row>
    <x:row r="100">
      <x:c r="A100" s="21" t="str">
        <x:v>GOV × 10</x:v>
      </x:c>
      <x:c r="B100" s="21" t="str">
        <x:v>Government &amp; public information</x:v>
      </x:c>
      <x:c r="C100" s="21" t="str">
        <x:v>Culture, leisure &amp; everyday life</x:v>
      </x:c>
      <x:c r="D100" s="22" t="n">
        <x:f>COUNTIFS('Manifest'!$E$2:$E$141,B100,'Manifest'!$F$2:$F$141,C100)</x:f>
        <x:v>2</x:v>
      </x:c>
      <x:c r="E100" s="22" t="str">
        <x:f>IF(D100=2,"PASS","FAIL")</x:f>
        <x:v>PASS</x:v>
      </x:c>
    </x:row>
    <x:row r="101">
      <x:c r="A101" s="21" t="str">
        <x:v>PRO × 1</x:v>
      </x:c>
      <x:c r="B101" s="21" t="str">
        <x:v>Proposals &amp; tenders</x:v>
      </x:c>
      <x:c r="C101" s="21" t="str">
        <x:v>Work &amp; organisations</x:v>
      </x:c>
      <x:c r="D101" s="22" t="n">
        <x:f>COUNTIFS('Manifest'!$E$2:$E$141,B101,'Manifest'!$F$2:$F$141,C101)</x:f>
        <x:v>2</x:v>
      </x:c>
      <x:c r="E101" s="22" t="str">
        <x:f>IF(D101=2,"PASS","FAIL")</x:f>
        <x:v>PASS</x:v>
      </x:c>
    </x:row>
    <x:row r="102">
      <x:c r="A102" s="21" t="str">
        <x:v>PRO × 2</x:v>
      </x:c>
      <x:c r="B102" s="21" t="str">
        <x:v>Proposals &amp; tenders</x:v>
      </x:c>
      <x:c r="C102" s="21" t="str">
        <x:v>Technology &amp; digital life</x:v>
      </x:c>
      <x:c r="D102" s="22" t="n">
        <x:f>COUNTIFS('Manifest'!$E$2:$E$141,B102,'Manifest'!$F$2:$F$141,C102)</x:f>
        <x:v>2</x:v>
      </x:c>
      <x:c r="E102" s="22" t="str">
        <x:f>IF(D102=2,"PASS","FAIL")</x:f>
        <x:v>PASS</x:v>
      </x:c>
    </x:row>
    <x:row r="103">
      <x:c r="A103" s="21" t="str">
        <x:v>PRO × 3</x:v>
      </x:c>
      <x:c r="B103" s="21" t="str">
        <x:v>Proposals &amp; tenders</x:v>
      </x:c>
      <x:c r="C103" s="21" t="str">
        <x:v>Health &amp; wellbeing</x:v>
      </x:c>
      <x:c r="D103" s="22" t="n">
        <x:f>COUNTIFS('Manifest'!$E$2:$E$141,B103,'Manifest'!$F$2:$F$141,C103)</x:f>
        <x:v>2</x:v>
      </x:c>
      <x:c r="E103" s="22" t="str">
        <x:f>IF(D103=2,"PASS","FAIL")</x:f>
        <x:v>PASS</x:v>
      </x:c>
    </x:row>
    <x:row r="104">
      <x:c r="A104" s="21" t="str">
        <x:v>PRO × 4</x:v>
      </x:c>
      <x:c r="B104" s="21" t="str">
        <x:v>Proposals &amp; tenders</x:v>
      </x:c>
      <x:c r="C104" s="21" t="str">
        <x:v>Education &amp; learning</x:v>
      </x:c>
      <x:c r="D104" s="22" t="n">
        <x:f>COUNTIFS('Manifest'!$E$2:$E$141,B104,'Manifest'!$F$2:$F$141,C104)</x:f>
        <x:v>2</x:v>
      </x:c>
      <x:c r="E104" s="22" t="str">
        <x:f>IF(D104=2,"PASS","FAIL")</x:f>
        <x:v>PASS</x:v>
      </x:c>
    </x:row>
    <x:row r="105">
      <x:c r="A105" s="21" t="str">
        <x:v>PRO × 5</x:v>
      </x:c>
      <x:c r="B105" s="21" t="str">
        <x:v>Proposals &amp; tenders</x:v>
      </x:c>
      <x:c r="C105" s="21" t="str">
        <x:v>Environment &amp; sustainability</x:v>
      </x:c>
      <x:c r="D105" s="22" t="n">
        <x:f>COUNTIFS('Manifest'!$E$2:$E$141,B105,'Manifest'!$F$2:$F$141,C105)</x:f>
        <x:v>2</x:v>
      </x:c>
      <x:c r="E105" s="22" t="str">
        <x:f>IF(D105=2,"PASS","FAIL")</x:f>
        <x:v>PASS</x:v>
      </x:c>
    </x:row>
    <x:row r="106">
      <x:c r="A106" s="21" t="str">
        <x:v>PRO × 6</x:v>
      </x:c>
      <x:c r="B106" s="21" t="str">
        <x:v>Proposals &amp; tenders</x:v>
      </x:c>
      <x:c r="C106" s="21" t="str">
        <x:v>Transport, housing &amp; places</x:v>
      </x:c>
      <x:c r="D106" s="22" t="n">
        <x:f>COUNTIFS('Manifest'!$E$2:$E$141,B106,'Manifest'!$F$2:$F$141,C106)</x:f>
        <x:v>2</x:v>
      </x:c>
      <x:c r="E106" s="22" t="str">
        <x:f>IF(D106=2,"PASS","FAIL")</x:f>
        <x:v>PASS</x:v>
      </x:c>
    </x:row>
    <x:row r="107">
      <x:c r="A107" s="21" t="str">
        <x:v>PRO × 7</x:v>
      </x:c>
      <x:c r="B107" s="21" t="str">
        <x:v>Proposals &amp; tenders</x:v>
      </x:c>
      <x:c r="C107" s="21" t="str">
        <x:v>Money &amp; the economy</x:v>
      </x:c>
      <x:c r="D107" s="22" t="n">
        <x:f>COUNTIFS('Manifest'!$E$2:$E$141,B107,'Manifest'!$F$2:$F$141,C107)</x:f>
        <x:v>2</x:v>
      </x:c>
      <x:c r="E107" s="22" t="str">
        <x:f>IF(D107=2,"PASS","FAIL")</x:f>
        <x:v>PASS</x:v>
      </x:c>
    </x:row>
    <x:row r="108">
      <x:c r="A108" s="21" t="str">
        <x:v>PRO × 8</x:v>
      </x:c>
      <x:c r="B108" s="21" t="str">
        <x:v>Proposals &amp; tenders</x:v>
      </x:c>
      <x:c r="C108" s="21" t="str">
        <x:v>Public services &amp; civic life</x:v>
      </x:c>
      <x:c r="D108" s="22" t="n">
        <x:f>COUNTIFS('Manifest'!$E$2:$E$141,B108,'Manifest'!$F$2:$F$141,C108)</x:f>
        <x:v>2</x:v>
      </x:c>
      <x:c r="E108" s="22" t="str">
        <x:f>IF(D108=2,"PASS","FAIL")</x:f>
        <x:v>PASS</x:v>
      </x:c>
    </x:row>
    <x:row r="109">
      <x:c r="A109" s="21" t="str">
        <x:v>PRO × 9</x:v>
      </x:c>
      <x:c r="B109" s="21" t="str">
        <x:v>Proposals &amp; tenders</x:v>
      </x:c>
      <x:c r="C109" s="21" t="str">
        <x:v>Family, community &amp; relationships</x:v>
      </x:c>
      <x:c r="D109" s="22" t="n">
        <x:f>COUNTIFS('Manifest'!$E$2:$E$141,B109,'Manifest'!$F$2:$F$141,C109)</x:f>
        <x:v>2</x:v>
      </x:c>
      <x:c r="E109" s="22" t="str">
        <x:f>IF(D109=2,"PASS","FAIL")</x:f>
        <x:v>PASS</x:v>
      </x:c>
    </x:row>
    <x:row r="110">
      <x:c r="A110" s="21" t="str">
        <x:v>PRO × 10</x:v>
      </x:c>
      <x:c r="B110" s="21" t="str">
        <x:v>Proposals &amp; tenders</x:v>
      </x:c>
      <x:c r="C110" s="21" t="str">
        <x:v>Culture, leisure &amp; everyday life</x:v>
      </x:c>
      <x:c r="D110" s="22" t="n">
        <x:f>COUNTIFS('Manifest'!$E$2:$E$141,B110,'Manifest'!$F$2:$F$141,C110)</x:f>
        <x:v>2</x:v>
      </x:c>
      <x:c r="E110" s="22" t="str">
        <x:f>IF(D110=2,"PASS","FAIL")</x:f>
        <x:v>PASS</x:v>
      </x:c>
    </x:row>
    <x:row r="111">
      <x:c r="A111" s="21" t="str">
        <x:v>LEG × 1</x:v>
      </x:c>
      <x:c r="B111" s="21" t="str">
        <x:v>Legal &amp; contracts</x:v>
      </x:c>
      <x:c r="C111" s="21" t="str">
        <x:v>Work &amp; organisations</x:v>
      </x:c>
      <x:c r="D111" s="22" t="n">
        <x:f>COUNTIFS('Manifest'!$E$2:$E$141,B111,'Manifest'!$F$2:$F$141,C111)</x:f>
        <x:v>2</x:v>
      </x:c>
      <x:c r="E111" s="22" t="str">
        <x:f>IF(D111=2,"PASS","FAIL")</x:f>
        <x:v>PASS</x:v>
      </x:c>
    </x:row>
    <x:row r="112">
      <x:c r="A112" s="21" t="str">
        <x:v>LEG × 2</x:v>
      </x:c>
      <x:c r="B112" s="21" t="str">
        <x:v>Legal &amp; contracts</x:v>
      </x:c>
      <x:c r="C112" s="21" t="str">
        <x:v>Technology &amp; digital life</x:v>
      </x:c>
      <x:c r="D112" s="22" t="n">
        <x:f>COUNTIFS('Manifest'!$E$2:$E$141,B112,'Manifest'!$F$2:$F$141,C112)</x:f>
        <x:v>2</x:v>
      </x:c>
      <x:c r="E112" s="22" t="str">
        <x:f>IF(D112=2,"PASS","FAIL")</x:f>
        <x:v>PASS</x:v>
      </x:c>
    </x:row>
    <x:row r="113">
      <x:c r="A113" s="21" t="str">
        <x:v>LEG × 3</x:v>
      </x:c>
      <x:c r="B113" s="21" t="str">
        <x:v>Legal &amp; contracts</x:v>
      </x:c>
      <x:c r="C113" s="21" t="str">
        <x:v>Health &amp; wellbeing</x:v>
      </x:c>
      <x:c r="D113" s="22" t="n">
        <x:f>COUNTIFS('Manifest'!$E$2:$E$141,B113,'Manifest'!$F$2:$F$141,C113)</x:f>
        <x:v>2</x:v>
      </x:c>
      <x:c r="E113" s="22" t="str">
        <x:f>IF(D113=2,"PASS","FAIL")</x:f>
        <x:v>PASS</x:v>
      </x:c>
    </x:row>
    <x:row r="114">
      <x:c r="A114" s="21" t="str">
        <x:v>LEG × 4</x:v>
      </x:c>
      <x:c r="B114" s="21" t="str">
        <x:v>Legal &amp; contracts</x:v>
      </x:c>
      <x:c r="C114" s="21" t="str">
        <x:v>Education &amp; learning</x:v>
      </x:c>
      <x:c r="D114" s="22" t="n">
        <x:f>COUNTIFS('Manifest'!$E$2:$E$141,B114,'Manifest'!$F$2:$F$141,C114)</x:f>
        <x:v>2</x:v>
      </x:c>
      <x:c r="E114" s="22" t="str">
        <x:f>IF(D114=2,"PASS","FAIL")</x:f>
        <x:v>PASS</x:v>
      </x:c>
    </x:row>
    <x:row r="115">
      <x:c r="A115" s="21" t="str">
        <x:v>LEG × 5</x:v>
      </x:c>
      <x:c r="B115" s="21" t="str">
        <x:v>Legal &amp; contracts</x:v>
      </x:c>
      <x:c r="C115" s="21" t="str">
        <x:v>Environment &amp; sustainability</x:v>
      </x:c>
      <x:c r="D115" s="22" t="n">
        <x:f>COUNTIFS('Manifest'!$E$2:$E$141,B115,'Manifest'!$F$2:$F$141,C115)</x:f>
        <x:v>2</x:v>
      </x:c>
      <x:c r="E115" s="22" t="str">
        <x:f>IF(D115=2,"PASS","FAIL")</x:f>
        <x:v>PASS</x:v>
      </x:c>
    </x:row>
    <x:row r="116">
      <x:c r="A116" s="21" t="str">
        <x:v>LEG × 6</x:v>
      </x:c>
      <x:c r="B116" s="21" t="str">
        <x:v>Legal &amp; contracts</x:v>
      </x:c>
      <x:c r="C116" s="21" t="str">
        <x:v>Transport, housing &amp; places</x:v>
      </x:c>
      <x:c r="D116" s="22" t="n">
        <x:f>COUNTIFS('Manifest'!$E$2:$E$141,B116,'Manifest'!$F$2:$F$141,C116)</x:f>
        <x:v>2</x:v>
      </x:c>
      <x:c r="E116" s="22" t="str">
        <x:f>IF(D116=2,"PASS","FAIL")</x:f>
        <x:v>PASS</x:v>
      </x:c>
    </x:row>
    <x:row r="117">
      <x:c r="A117" s="21" t="str">
        <x:v>LEG × 7</x:v>
      </x:c>
      <x:c r="B117" s="21" t="str">
        <x:v>Legal &amp; contracts</x:v>
      </x:c>
      <x:c r="C117" s="21" t="str">
        <x:v>Money &amp; the economy</x:v>
      </x:c>
      <x:c r="D117" s="22" t="n">
        <x:f>COUNTIFS('Manifest'!$E$2:$E$141,B117,'Manifest'!$F$2:$F$141,C117)</x:f>
        <x:v>2</x:v>
      </x:c>
      <x:c r="E117" s="22" t="str">
        <x:f>IF(D117=2,"PASS","FAIL")</x:f>
        <x:v>PASS</x:v>
      </x:c>
    </x:row>
    <x:row r="118">
      <x:c r="A118" s="21" t="str">
        <x:v>LEG × 8</x:v>
      </x:c>
      <x:c r="B118" s="21" t="str">
        <x:v>Legal &amp; contracts</x:v>
      </x:c>
      <x:c r="C118" s="21" t="str">
        <x:v>Public services &amp; civic life</x:v>
      </x:c>
      <x:c r="D118" s="22" t="n">
        <x:f>COUNTIFS('Manifest'!$E$2:$E$141,B118,'Manifest'!$F$2:$F$141,C118)</x:f>
        <x:v>2</x:v>
      </x:c>
      <x:c r="E118" s="22" t="str">
        <x:f>IF(D118=2,"PASS","FAIL")</x:f>
        <x:v>PASS</x:v>
      </x:c>
    </x:row>
    <x:row r="119">
      <x:c r="A119" s="21" t="str">
        <x:v>LEG × 9</x:v>
      </x:c>
      <x:c r="B119" s="21" t="str">
        <x:v>Legal &amp; contracts</x:v>
      </x:c>
      <x:c r="C119" s="21" t="str">
        <x:v>Family, community &amp; relationships</x:v>
      </x:c>
      <x:c r="D119" s="22" t="n">
        <x:f>COUNTIFS('Manifest'!$E$2:$E$141,B119,'Manifest'!$F$2:$F$141,C119)</x:f>
        <x:v>2</x:v>
      </x:c>
      <x:c r="E119" s="22" t="str">
        <x:f>IF(D119=2,"PASS","FAIL")</x:f>
        <x:v>PASS</x:v>
      </x:c>
    </x:row>
    <x:row r="120">
      <x:c r="A120" s="21" t="str">
        <x:v>LEG × 10</x:v>
      </x:c>
      <x:c r="B120" s="21" t="str">
        <x:v>Legal &amp; contracts</x:v>
      </x:c>
      <x:c r="C120" s="21" t="str">
        <x:v>Culture, leisure &amp; everyday life</x:v>
      </x:c>
      <x:c r="D120" s="22" t="n">
        <x:f>COUNTIFS('Manifest'!$E$2:$E$141,B120,'Manifest'!$F$2:$F$141,C120)</x:f>
        <x:v>2</x:v>
      </x:c>
      <x:c r="E120" s="22" t="str">
        <x:f>IF(D120=2,"PASS","FAIL")</x:f>
        <x:v>PASS</x:v>
      </x:c>
    </x:row>
    <x:row r="121">
      <x:c r="A121" s="21"/>
      <x:c r="B121" s="21"/>
      <x:c r="C121" s="21"/>
      <x:c r="D121" s="22"/>
      <x:c r="E121" s="22"/>
    </x:row>
    <x:row r="122">
      <x:c r="A122" s="21"/>
      <x:c r="B122" s="21"/>
      <x:c r="C122" s="21"/>
      <x:c r="D122" s="22"/>
      <x:c r="E122" s="22"/>
    </x:row>
    <x:row r="123">
      <x:c r="A123" s="20" t="str">
        <x:v>Structural direction</x:v>
      </x:c>
      <x:c r="B123" s="20" t="str">
        <x:v>Category</x:v>
      </x:c>
      <x:c r="C123" s="20" t="str">
        <x:v>Direction</x:v>
      </x:c>
      <x:c r="D123" s="23" t="str">
        <x:v>Actual</x:v>
      </x:c>
      <x:c r="E123" s="23" t="str">
        <x:v>Status</x:v>
      </x:c>
    </x:row>
    <x:row r="124">
      <x:c r="A124" s="21" t="str">
        <x:v>ART direction</x:v>
      </x:c>
      <x:c r="B124" s="21" t="str">
        <x:v>Articles</x:v>
      </x:c>
      <x:c r="C124" s="21" t="str">
        <x:v>Explainer</x:v>
      </x:c>
      <x:c r="D124" s="22" t="n">
        <x:f>COUNTIFS('Manifest'!$E$2:$E$141,B124,'Manifest'!$G$2:$G$141,C124)</x:f>
        <x:v>4</x:v>
      </x:c>
      <x:c r="E124" s="22" t="str">
        <x:f>IF(D124=4,"PASS","FAIL")</x:f>
        <x:v>PASS</x:v>
      </x:c>
    </x:row>
    <x:row r="125">
      <x:c r="A125" s="21" t="str">
        <x:v>ART direction</x:v>
      </x:c>
      <x:c r="B125" s="21" t="str">
        <x:v>Articles</x:v>
      </x:c>
      <x:c r="C125" s="21" t="str">
        <x:v>Analysis</x:v>
      </x:c>
      <x:c r="D125" s="22" t="n">
        <x:f>COUNTIFS('Manifest'!$E$2:$E$141,B125,'Manifest'!$G$2:$G$141,C125)</x:f>
        <x:v>4</x:v>
      </x:c>
      <x:c r="E125" s="22" t="str">
        <x:f>IF(D125=4,"PASS","FAIL")</x:f>
        <x:v>PASS</x:v>
      </x:c>
    </x:row>
    <x:row r="126">
      <x:c r="A126" s="21" t="str">
        <x:v>ART direction</x:v>
      </x:c>
      <x:c r="B126" s="21" t="str">
        <x:v>Articles</x:v>
      </x:c>
      <x:c r="C126" s="21" t="str">
        <x:v>Feature</x:v>
      </x:c>
      <x:c r="D126" s="22" t="n">
        <x:f>COUNTIFS('Manifest'!$E$2:$E$141,B126,'Manifest'!$G$2:$G$141,C126)</x:f>
        <x:v>4</x:v>
      </x:c>
      <x:c r="E126" s="22" t="str">
        <x:f>IF(D126=4,"PASS","FAIL")</x:f>
        <x:v>PASS</x:v>
      </x:c>
    </x:row>
    <x:row r="127">
      <x:c r="A127" s="21" t="str">
        <x:v>ART direction</x:v>
      </x:c>
      <x:c r="B127" s="21" t="str">
        <x:v>Articles</x:v>
      </x:c>
      <x:c r="C127" s="21" t="str">
        <x:v>Practical guide</x:v>
      </x:c>
      <x:c r="D127" s="22" t="n">
        <x:f>COUNTIFS('Manifest'!$E$2:$E$141,B127,'Manifest'!$G$2:$G$141,C127)</x:f>
        <x:v>4</x:v>
      </x:c>
      <x:c r="E127" s="22" t="str">
        <x:f>IF(D127=4,"PASS","FAIL")</x:f>
        <x:v>PASS</x:v>
      </x:c>
    </x:row>
    <x:row r="128">
      <x:c r="A128" s="21" t="str">
        <x:v>ART direction</x:v>
      </x:c>
      <x:c r="B128" s="21" t="str">
        <x:v>Articles</x:v>
      </x:c>
      <x:c r="C128" s="21" t="str">
        <x:v>Opinion &amp; commentary</x:v>
      </x:c>
      <x:c r="D128" s="22" t="n">
        <x:f>COUNTIFS('Manifest'!$E$2:$E$141,B128,'Manifest'!$G$2:$G$141,C128)</x:f>
        <x:v>4</x:v>
      </x:c>
      <x:c r="E128" s="22" t="str">
        <x:f>IF(D128=4,"PASS","FAIL")</x:f>
        <x:v>PASS</x:v>
      </x:c>
    </x:row>
    <x:row r="129">
      <x:c r="A129" s="21" t="str">
        <x:v>PER direction</x:v>
      </x:c>
      <x:c r="B129" s="21" t="str">
        <x:v>Personal writing</x:v>
      </x:c>
      <x:c r="C129" s="21" t="str">
        <x:v>Personal narrative</x:v>
      </x:c>
      <x:c r="D129" s="22" t="n">
        <x:f>COUNTIFS('Manifest'!$E$2:$E$141,B129,'Manifest'!$G$2:$G$141,C129)</x:f>
        <x:v>4</x:v>
      </x:c>
      <x:c r="E129" s="22" t="str">
        <x:f>IF(D129=4,"PASS","FAIL")</x:f>
        <x:v>PASS</x:v>
      </x:c>
    </x:row>
    <x:row r="130">
      <x:c r="A130" s="21" t="str">
        <x:v>PER direction</x:v>
      </x:c>
      <x:c r="B130" s="21" t="str">
        <x:v>Personal writing</x:v>
      </x:c>
      <x:c r="C130" s="21" t="str">
        <x:v>Reflective essay</x:v>
      </x:c>
      <x:c r="D130" s="22" t="n">
        <x:f>COUNTIFS('Manifest'!$E$2:$E$141,B130,'Manifest'!$G$2:$G$141,C130)</x:f>
        <x:v>4</x:v>
      </x:c>
      <x:c r="E130" s="22" t="str">
        <x:f>IF(D130=4,"PASS","FAIL")</x:f>
        <x:v>PASS</x:v>
      </x:c>
    </x:row>
    <x:row r="131">
      <x:c r="A131" s="21" t="str">
        <x:v>PER direction</x:v>
      </x:c>
      <x:c r="B131" s="21" t="str">
        <x:v>Personal writing</x:v>
      </x:c>
      <x:c r="C131" s="21" t="str">
        <x:v>Observational sketch</x:v>
      </x:c>
      <x:c r="D131" s="22" t="n">
        <x:f>COUNTIFS('Manifest'!$E$2:$E$141,B131,'Manifest'!$G$2:$G$141,C131)</x:f>
        <x:v>4</x:v>
      </x:c>
      <x:c r="E131" s="22" t="str">
        <x:f>IF(D131=4,"PASS","FAIL")</x:f>
        <x:v>PASS</x:v>
      </x:c>
    </x:row>
    <x:row r="132">
      <x:c r="A132" s="21" t="str">
        <x:v>PER direction</x:v>
      </x:c>
      <x:c r="B132" s="21" t="str">
        <x:v>Personal writing</x:v>
      </x:c>
      <x:c r="C132" s="21" t="str">
        <x:v>Personal correspondence</x:v>
      </x:c>
      <x:c r="D132" s="22" t="n">
        <x:f>COUNTIFS('Manifest'!$E$2:$E$141,B132,'Manifest'!$G$2:$G$141,C132)</x:f>
        <x:v>4</x:v>
      </x:c>
      <x:c r="E132" s="22" t="str">
        <x:f>IF(D132=4,"PASS","FAIL")</x:f>
        <x:v>PASS</x:v>
      </x:c>
    </x:row>
    <x:row r="133">
      <x:c r="A133" s="21" t="str">
        <x:v>PER direction</x:v>
      </x:c>
      <x:c r="B133" s="21" t="str">
        <x:v>Personal writing</x:v>
      </x:c>
      <x:c r="C133" s="21" t="str">
        <x:v>Place or travel vignette</x:v>
      </x:c>
      <x:c r="D133" s="22" t="n">
        <x:f>COUNTIFS('Manifest'!$E$2:$E$141,B133,'Manifest'!$G$2:$G$141,C133)</x:f>
        <x:v>4</x:v>
      </x:c>
      <x:c r="E133" s="22" t="str">
        <x:f>IF(D133=4,"PASS","FAIL")</x:f>
        <x:v>PASS</x:v>
      </x:c>
    </x:row>
    <x:row r="134">
      <x:c r="A134" s="21" t="str">
        <x:v>NEW direction</x:v>
      </x:c>
      <x:c r="B134" s="21" t="str">
        <x:v>News</x:v>
      </x:c>
      <x:c r="C134" s="21" t="str">
        <x:v>Straight report</x:v>
      </x:c>
      <x:c r="D134" s="22" t="n">
        <x:f>COUNTIFS('Manifest'!$E$2:$E$141,B134,'Manifest'!$G$2:$G$141,C134)</x:f>
        <x:v>4</x:v>
      </x:c>
      <x:c r="E134" s="22" t="str">
        <x:f>IF(D134=4,"PASS","FAIL")</x:f>
        <x:v>PASS</x:v>
      </x:c>
    </x:row>
    <x:row r="135">
      <x:c r="A135" s="21" t="str">
        <x:v>NEW direction</x:v>
      </x:c>
      <x:c r="B135" s="21" t="str">
        <x:v>News</x:v>
      </x:c>
      <x:c r="C135" s="21" t="str">
        <x:v>Follow-up report</x:v>
      </x:c>
      <x:c r="D135" s="22" t="n">
        <x:f>COUNTIFS('Manifest'!$E$2:$E$141,B135,'Manifest'!$G$2:$G$141,C135)</x:f>
        <x:v>4</x:v>
      </x:c>
      <x:c r="E135" s="22" t="str">
        <x:f>IF(D135=4,"PASS","FAIL")</x:f>
        <x:v>PASS</x:v>
      </x:c>
    </x:row>
    <x:row r="136">
      <x:c r="A136" s="21" t="str">
        <x:v>NEW direction</x:v>
      </x:c>
      <x:c r="B136" s="21" t="str">
        <x:v>News</x:v>
      </x:c>
      <x:c r="C136" s="21" t="str">
        <x:v>Interview-led report</x:v>
      </x:c>
      <x:c r="D136" s="22" t="n">
        <x:f>COUNTIFS('Manifest'!$E$2:$E$141,B136,'Manifest'!$G$2:$G$141,C136)</x:f>
        <x:v>4</x:v>
      </x:c>
      <x:c r="E136" s="22" t="str">
        <x:f>IF(D136=4,"PASS","FAIL")</x:f>
        <x:v>PASS</x:v>
      </x:c>
    </x:row>
    <x:row r="137">
      <x:c r="A137" s="21" t="str">
        <x:v>NEW direction</x:v>
      </x:c>
      <x:c r="B137" s="21" t="str">
        <x:v>News</x:v>
      </x:c>
      <x:c r="C137" s="21" t="str">
        <x:v>Data-led report</x:v>
      </x:c>
      <x:c r="D137" s="22" t="n">
        <x:f>COUNTIFS('Manifest'!$E$2:$E$141,B137,'Manifest'!$G$2:$G$141,C137)</x:f>
        <x:v>4</x:v>
      </x:c>
      <x:c r="E137" s="22" t="str">
        <x:f>IF(D137=4,"PASS","FAIL")</x:f>
        <x:v>PASS</x:v>
      </x:c>
    </x:row>
    <x:row r="138">
      <x:c r="A138" s="21" t="str">
        <x:v>NEW direction</x:v>
      </x:c>
      <x:c r="B138" s="21" t="str">
        <x:v>News</x:v>
      </x:c>
      <x:c r="C138" s="21" t="str">
        <x:v>Public-service report</x:v>
      </x:c>
      <x:c r="D138" s="22" t="n">
        <x:f>COUNTIFS('Manifest'!$E$2:$E$141,B138,'Manifest'!$G$2:$G$141,C138)</x:f>
        <x:v>4</x:v>
      </x:c>
      <x:c r="E138" s="22" t="str">
        <x:f>IF(D138=4,"PASS","FAIL")</x:f>
        <x:v>PASS</x:v>
      </x:c>
    </x:row>
    <x:row r="139">
      <x:c r="A139" s="21" t="str">
        <x:v>BUS direction</x:v>
      </x:c>
      <x:c r="B139" s="21" t="str">
        <x:v>Business communication</x:v>
      </x:c>
      <x:c r="C139" s="21" t="str">
        <x:v>Decision request</x:v>
      </x:c>
      <x:c r="D139" s="22" t="n">
        <x:f>COUNTIFS('Manifest'!$E$2:$E$141,B139,'Manifest'!$G$2:$G$141,C139)</x:f>
        <x:v>4</x:v>
      </x:c>
      <x:c r="E139" s="22" t="str">
        <x:f>IF(D139=4,"PASS","FAIL")</x:f>
        <x:v>PASS</x:v>
      </x:c>
    </x:row>
    <x:row r="140">
      <x:c r="A140" s="21" t="str">
        <x:v>BUS direction</x:v>
      </x:c>
      <x:c r="B140" s="21" t="str">
        <x:v>Business communication</x:v>
      </x:c>
      <x:c r="C140" s="21" t="str">
        <x:v>Progress update</x:v>
      </x:c>
      <x:c r="D140" s="22" t="n">
        <x:f>COUNTIFS('Manifest'!$E$2:$E$141,B140,'Manifest'!$G$2:$G$141,C140)</x:f>
        <x:v>4</x:v>
      </x:c>
      <x:c r="E140" s="22" t="str">
        <x:f>IF(D140=4,"PASS","FAIL")</x:f>
        <x:v>PASS</x:v>
      </x:c>
    </x:row>
    <x:row r="141">
      <x:c r="A141" s="21" t="str">
        <x:v>BUS direction</x:v>
      </x:c>
      <x:c r="B141" s="21" t="str">
        <x:v>Business communication</x:v>
      </x:c>
      <x:c r="C141" s="21" t="str">
        <x:v>Risk escalation</x:v>
      </x:c>
      <x:c r="D141" s="22" t="n">
        <x:f>COUNTIFS('Manifest'!$E$2:$E$141,B141,'Manifest'!$G$2:$G$141,C141)</x:f>
        <x:v>4</x:v>
      </x:c>
      <x:c r="E141" s="22" t="str">
        <x:f>IF(D141=4,"PASS","FAIL")</x:f>
        <x:v>PASS</x:v>
      </x:c>
    </x:row>
    <x:row r="142">
      <x:c r="A142" s="21" t="str">
        <x:v>BUS direction</x:v>
      </x:c>
      <x:c r="B142" s="21" t="str">
        <x:v>Business communication</x:v>
      </x:c>
      <x:c r="C142" s="21" t="str">
        <x:v>Handover note</x:v>
      </x:c>
      <x:c r="D142" s="22" t="n">
        <x:f>COUNTIFS('Manifest'!$E$2:$E$141,B142,'Manifest'!$G$2:$G$141,C142)</x:f>
        <x:v>4</x:v>
      </x:c>
      <x:c r="E142" s="22" t="str">
        <x:f>IF(D142=4,"PASS","FAIL")</x:f>
        <x:v>PASS</x:v>
      </x:c>
    </x:row>
    <x:row r="143">
      <x:c r="A143" s="21" t="str">
        <x:v>BUS direction</x:v>
      </x:c>
      <x:c r="B143" s="21" t="str">
        <x:v>Business communication</x:v>
      </x:c>
      <x:c r="C143" s="21" t="str">
        <x:v>Customer or stakeholder response</x:v>
      </x:c>
      <x:c r="D143" s="22" t="n">
        <x:f>COUNTIFS('Manifest'!$E$2:$E$141,B143,'Manifest'!$G$2:$G$141,C143)</x:f>
        <x:v>4</x:v>
      </x:c>
      <x:c r="E143" s="22" t="str">
        <x:f>IF(D143=4,"PASS","FAIL")</x:f>
        <x:v>PASS</x:v>
      </x:c>
    </x:row>
    <x:row r="144">
      <x:c r="A144" s="21" t="str">
        <x:v>GOV direction</x:v>
      </x:c>
      <x:c r="B144" s="21" t="str">
        <x:v>Government &amp; public information</x:v>
      </x:c>
      <x:c r="C144" s="21" t="str">
        <x:v>Public notice</x:v>
      </x:c>
      <x:c r="D144" s="22" t="n">
        <x:f>COUNTIFS('Manifest'!$E$2:$E$141,B144,'Manifest'!$G$2:$G$141,C144)</x:f>
        <x:v>4</x:v>
      </x:c>
      <x:c r="E144" s="22" t="str">
        <x:f>IF(D144=4,"PASS","FAIL")</x:f>
        <x:v>PASS</x:v>
      </x:c>
    </x:row>
    <x:row r="145">
      <x:c r="A145" s="21" t="str">
        <x:v>GOV direction</x:v>
      </x:c>
      <x:c r="B145" s="21" t="str">
        <x:v>Government &amp; public information</x:v>
      </x:c>
      <x:c r="C145" s="21" t="str">
        <x:v>Service guidance</x:v>
      </x:c>
      <x:c r="D145" s="22" t="n">
        <x:f>COUNTIFS('Manifest'!$E$2:$E$141,B145,'Manifest'!$G$2:$G$141,C145)</x:f>
        <x:v>4</x:v>
      </x:c>
      <x:c r="E145" s="22" t="str">
        <x:f>IF(D145=4,"PASS","FAIL")</x:f>
        <x:v>PASS</x:v>
      </x:c>
    </x:row>
    <x:row r="146">
      <x:c r="A146" s="21" t="str">
        <x:v>GOV direction</x:v>
      </x:c>
      <x:c r="B146" s="21" t="str">
        <x:v>Government &amp; public information</x:v>
      </x:c>
      <x:c r="C146" s="21" t="str">
        <x:v>Policy brief</x:v>
      </x:c>
      <x:c r="D146" s="22" t="n">
        <x:f>COUNTIFS('Manifest'!$E$2:$E$141,B146,'Manifest'!$G$2:$G$141,C146)</x:f>
        <x:v>4</x:v>
      </x:c>
      <x:c r="E146" s="22" t="str">
        <x:f>IF(D146=4,"PASS","FAIL")</x:f>
        <x:v>PASS</x:v>
      </x:c>
    </x:row>
    <x:row r="147">
      <x:c r="A147" s="21" t="str">
        <x:v>GOV direction</x:v>
      </x:c>
      <x:c r="B147" s="21" t="str">
        <x:v>Government &amp; public information</x:v>
      </x:c>
      <x:c r="C147" s="21" t="str">
        <x:v>Consultation summary</x:v>
      </x:c>
      <x:c r="D147" s="22" t="n">
        <x:f>COUNTIFS('Manifest'!$E$2:$E$141,B147,'Manifest'!$G$2:$G$141,C147)</x:f>
        <x:v>4</x:v>
      </x:c>
      <x:c r="E147" s="22" t="str">
        <x:f>IF(D147=4,"PASS","FAIL")</x:f>
        <x:v>PASS</x:v>
      </x:c>
    </x:row>
    <x:row r="148">
      <x:c r="A148" s="21" t="str">
        <x:v>GOV direction</x:v>
      </x:c>
      <x:c r="B148" s="21" t="str">
        <x:v>Government &amp; public information</x:v>
      </x:c>
      <x:c r="C148" s="21" t="str">
        <x:v>Formal report summary</x:v>
      </x:c>
      <x:c r="D148" s="22" t="n">
        <x:f>COUNTIFS('Manifest'!$E$2:$E$141,B148,'Manifest'!$G$2:$G$141,C148)</x:f>
        <x:v>4</x:v>
      </x:c>
      <x:c r="E148" s="22" t="str">
        <x:f>IF(D148=4,"PASS","FAIL")</x:f>
        <x:v>PASS</x:v>
      </x:c>
    </x:row>
    <x:row r="149">
      <x:c r="A149" s="21" t="str">
        <x:v>PRO direction</x:v>
      </x:c>
      <x:c r="B149" s="21" t="str">
        <x:v>Proposals &amp; tenders</x:v>
      </x:c>
      <x:c r="C149" s="21" t="str">
        <x:v>Executive summary</x:v>
      </x:c>
      <x:c r="D149" s="22" t="n">
        <x:f>COUNTIFS('Manifest'!$E$2:$E$141,B149,'Manifest'!$G$2:$G$141,C149)</x:f>
        <x:v>4</x:v>
      </x:c>
      <x:c r="E149" s="22" t="str">
        <x:f>IF(D149=4,"PASS","FAIL")</x:f>
        <x:v>PASS</x:v>
      </x:c>
    </x:row>
    <x:row r="150">
      <x:c r="A150" s="21" t="str">
        <x:v>PRO direction</x:v>
      </x:c>
      <x:c r="B150" s="21" t="str">
        <x:v>Proposals &amp; tenders</x:v>
      </x:c>
      <x:c r="C150" s="21" t="str">
        <x:v>Requirements response</x:v>
      </x:c>
      <x:c r="D150" s="22" t="n">
        <x:f>COUNTIFS('Manifest'!$E$2:$E$141,B150,'Manifest'!$G$2:$G$141,C150)</x:f>
        <x:v>4</x:v>
      </x:c>
      <x:c r="E150" s="22" t="str">
        <x:f>IF(D150=4,"PASS","FAIL")</x:f>
        <x:v>PASS</x:v>
      </x:c>
    </x:row>
    <x:row r="151">
      <x:c r="A151" s="21" t="str">
        <x:v>PRO direction</x:v>
      </x:c>
      <x:c r="B151" s="21" t="str">
        <x:v>Proposals &amp; tenders</x:v>
      </x:c>
      <x:c r="C151" s="21" t="str">
        <x:v>Delivery methodology</x:v>
      </x:c>
      <x:c r="D151" s="22" t="n">
        <x:f>COUNTIFS('Manifest'!$E$2:$E$141,B151,'Manifest'!$G$2:$G$141,C151)</x:f>
        <x:v>4</x:v>
      </x:c>
      <x:c r="E151" s="22" t="str">
        <x:f>IF(D151=4,"PASS","FAIL")</x:f>
        <x:v>PASS</x:v>
      </x:c>
    </x:row>
    <x:row r="152">
      <x:c r="A152" s="21" t="str">
        <x:v>PRO direction</x:v>
      </x:c>
      <x:c r="B152" s="21" t="str">
        <x:v>Proposals &amp; tenders</x:v>
      </x:c>
      <x:c r="C152" s="21" t="str">
        <x:v>Implementation plan</x:v>
      </x:c>
      <x:c r="D152" s="22" t="n">
        <x:f>COUNTIFS('Manifest'!$E$2:$E$141,B152,'Manifest'!$G$2:$G$141,C152)</x:f>
        <x:v>4</x:v>
      </x:c>
      <x:c r="E152" s="22" t="str">
        <x:f>IF(D152=4,"PASS","FAIL")</x:f>
        <x:v>PASS</x:v>
      </x:c>
    </x:row>
    <x:row r="153">
      <x:c r="A153" s="21" t="str">
        <x:v>PRO direction</x:v>
      </x:c>
      <x:c r="B153" s="21" t="str">
        <x:v>Proposals &amp; tenders</x:v>
      </x:c>
      <x:c r="C153" s="21" t="str">
        <x:v>Risk and quality plan</x:v>
      </x:c>
      <x:c r="D153" s="22" t="n">
        <x:f>COUNTIFS('Manifest'!$E$2:$E$141,B153,'Manifest'!$G$2:$G$141,C153)</x:f>
        <x:v>4</x:v>
      </x:c>
      <x:c r="E153" s="22" t="str">
        <x:f>IF(D153=4,"PASS","FAIL")</x:f>
        <x:v>PASS</x:v>
      </x:c>
    </x:row>
    <x:row r="154">
      <x:c r="A154" s="21" t="str">
        <x:v>LEG direction</x:v>
      </x:c>
      <x:c r="B154" s="21" t="str">
        <x:v>Legal &amp; contracts</x:v>
      </x:c>
      <x:c r="C154" s="21" t="str">
        <x:v>Core clause</x:v>
      </x:c>
      <x:c r="D154" s="22" t="n">
        <x:f>COUNTIFS('Manifest'!$E$2:$E$141,B154,'Manifest'!$G$2:$G$141,C154)</x:f>
        <x:v>4</x:v>
      </x:c>
      <x:c r="E154" s="22" t="str">
        <x:f>IF(D154=4,"PASS","FAIL")</x:f>
        <x:v>PASS</x:v>
      </x:c>
    </x:row>
    <x:row r="155">
      <x:c r="A155" s="21" t="str">
        <x:v>LEG direction</x:v>
      </x:c>
      <x:c r="B155" s="21" t="str">
        <x:v>Legal &amp; contracts</x:v>
      </x:c>
      <x:c r="C155" s="21" t="str">
        <x:v>Responsibilities schedule</x:v>
      </x:c>
      <x:c r="D155" s="22" t="n">
        <x:f>COUNTIFS('Manifest'!$E$2:$E$141,B155,'Manifest'!$G$2:$G$141,C155)</x:f>
        <x:v>4</x:v>
      </x:c>
      <x:c r="E155" s="22" t="str">
        <x:f>IF(D155=4,"PASS","FAIL")</x:f>
        <x:v>PASS</x:v>
      </x:c>
    </x:row>
    <x:row r="156">
      <x:c r="A156" s="21" t="str">
        <x:v>LEG direction</x:v>
      </x:c>
      <x:c r="B156" s="21" t="str">
        <x:v>Legal &amp; contracts</x:v>
      </x:c>
      <x:c r="C156" s="21" t="str">
        <x:v>Procedural clause</x:v>
      </x:c>
      <x:c r="D156" s="22" t="n">
        <x:f>COUNTIFS('Manifest'!$E$2:$E$141,B156,'Manifest'!$G$2:$G$141,C156)</x:f>
        <x:v>4</x:v>
      </x:c>
      <x:c r="E156" s="22" t="str">
        <x:f>IF(D156=4,"PASS","FAIL")</x:f>
        <x:v>PASS</x:v>
      </x:c>
    </x:row>
    <x:row r="157">
      <x:c r="A157" s="21" t="str">
        <x:v>LEG direction</x:v>
      </x:c>
      <x:c r="B157" s="21" t="str">
        <x:v>Legal &amp; contracts</x:v>
      </x:c>
      <x:c r="C157" s="21" t="str">
        <x:v>Formal notice</x:v>
      </x:c>
      <x:c r="D157" s="22" t="n">
        <x:f>COUNTIFS('Manifest'!$E$2:$E$141,B157,'Manifest'!$G$2:$G$141,C157)</x:f>
        <x:v>4</x:v>
      </x:c>
      <x:c r="E157" s="22" t="str">
        <x:f>IF(D157=4,"PASS","FAIL")</x:f>
        <x:v>PASS</x:v>
      </x:c>
    </x:row>
    <x:row r="158">
      <x:c r="A158" s="21" t="str">
        <x:v>LEG direction</x:v>
      </x:c>
      <x:c r="B158" s="21" t="str">
        <x:v>Legal &amp; contracts</x:v>
      </x:c>
      <x:c r="C158" s="21" t="str">
        <x:v>Compliance or remedy provision</x:v>
      </x:c>
      <x:c r="D158" s="22" t="n">
        <x:f>COUNTIFS('Manifest'!$E$2:$E$141,B158,'Manifest'!$G$2:$G$141,C158)</x:f>
        <x:v>4</x:v>
      </x:c>
      <x:c r="E158" s="22" t="str">
        <x:f>IF(D158=4,"PASS","FAIL")</x:f>
        <x:v>PASS</x:v>
      </x:c>
    </x:row>
  </x:sheetData>
  <x:mergeCells>
    <x:mergeCell ref="A1:D1"/>
  </x:mergeCells>
  <x:conditionalFormatting sqref="D4:E158">
    <x:cfRule type="containsText" dxfId="3" priority="1" operator="containsText" text="PASS"/>
    <x:cfRule type="containsText" dxfId="4" priority="2" operator="containsText" text="FAIL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8" hidden="0" customWidth="1"/>
    <x:col min="3" max="3" width="16" hidden="0" customWidth="1"/>
    <x:col min="4" max="4" width="62" hidden="0" customWidth="1"/>
  </x:cols>
  <x:sheetData>
    <x:row r="1" ht="30" customHeight="1">
      <x:c r="A1" s="13" t="str">
        <x:v>Existing passage ID</x:v>
      </x:c>
      <x:c r="B1" s="13" t="str">
        <x:v>Existing title</x:v>
      </x:c>
      <x:c r="C1" s="13" t="str">
        <x:v>Disposition</x:v>
      </x:c>
      <x:c r="D1" s="13" t="str">
        <x:v>Reason</x:v>
      </x:c>
    </x:row>
    <x:row r="2" ht="42" customHeight="1">
      <x:c r="A2" s="24" t="str">
        <x:v>c13f0f8c-cefb-4d93-9b74-241d3229e448</x:v>
      </x:c>
      <x:c r="B2" s="24" t="str">
        <x:v>Service Continuity Clause</x:v>
      </x:c>
      <x:c r="C2" s="24" t="str">
        <x:v>Deactivate</x:v>
      </x:c>
      <x:c r="D2" s="24" t="str">
        <x:v>Near-duplicate of the retained Service Continuity and Recovery Clause</x:v>
      </x:c>
    </x:row>
    <x:row r="3" ht="42" customHeight="1">
      <x:c r="A3" s="24" t="str">
        <x:v>443f564d-7b45-4008-a0b3-6ae275ca9f9f</x:v>
      </x:c>
      <x:c r="B3" s="24" t="str">
        <x:v>The Benefits of Reading Every Day</x:v>
      </x:c>
      <x:c r="C3" s="24" t="str">
        <x:v>Deactivate</x:v>
      </x:c>
      <x:c r="D3" s="24" t="str">
        <x:v>Generic school-essay template</x:v>
      </x:c>
    </x:row>
    <x:row r="4" ht="42" customHeight="1">
      <x:c r="A4" s="24" t="str">
        <x:v>a903c9e1-356c-4204-8091-f0ad3f308f4d</x:v>
      </x:c>
      <x:c r="B4" s="24" t="str">
        <x:v>The Importance of Environmental Protection</x:v>
      </x:c>
      <x:c r="C4" s="24" t="str">
        <x:v>Deactivate</x:v>
      </x:c>
      <x:c r="D4" s="24" t="str">
        <x:v>Template essay and category mismatch</x:v>
      </x:c>
    </x:row>
    <x:row r="5" ht="42" customHeight="1">
      <x:c r="A5" s="24" t="str">
        <x:v>0179ca91-3532-45ad-97ac-ea9dae8bbc09</x:v>
      </x:c>
      <x:c r="B5" s="24" t="str">
        <x:v>The Importance of Good Communication Skills</x:v>
      </x:c>
      <x:c r="C5" s="24" t="str">
        <x:v>Deactivate</x:v>
      </x:c>
      <x:c r="D5" s="24" t="str">
        <x:v>Generic school-essay template</x:v>
      </x:c>
    </x:row>
    <x:row r="6" ht="42" customHeight="1">
      <x:c r="A6" s="24" t="str">
        <x:v>47c4994c-ef4e-47ec-9736-5e86916586cd</x:v>
      </x:c>
      <x:c r="B6" s="24" t="str">
        <x:v>The Importance of Time Management</x:v>
      </x:c>
      <x:c r="C6" s="24" t="str">
        <x:v>Deactivate</x:v>
      </x:c>
      <x:c r="D6" s="24" t="str">
        <x:v>Generic school-essay template</x:v>
      </x:c>
    </x:row>
    <x:row r="7" ht="42" customHeight="1">
      <x:c r="A7" s="24" t="str">
        <x:v>a5488771-cfb4-47c5-bec6-d71899c442aa</x:v>
      </x:c>
      <x:c r="B7" s="24" t="str">
        <x:v>The Power of Positive Thinking</x:v>
      </x:c>
      <x:c r="C7" s="24" t="str">
        <x:v>Deactivate</x:v>
      </x:c>
      <x:c r="D7" s="24" t="str">
        <x:v>Generic essay incorrectly classified as News</x:v>
      </x:c>
    </x:row>
    <x:row r="8" ht="42" customHeight="1">
      <x:c r="A8" s="24" t="str">
        <x:v>ef8eaa37-80eb-4c0e-be7d-8bbf0d9a06ae</x:v>
      </x:c>
      <x:c r="B8" s="24" t="str">
        <x:v>The Role of Technology in Modern Life</x:v>
      </x:c>
      <x:c r="C8" s="24" t="str">
        <x:v>Deactivate</x:v>
      </x:c>
      <x:c r="D8" s="24" t="str">
        <x:v>Corrupted record containing a second unrelated article</x:v>
      </x:c>
    </x:row>
    <x:row r="9" ht="42" customHeight="1">
      <x:c r="A9" s="24" t="str">
        <x:v>04c16e3c-0f9c-4d38-80c0-2edbe57e4b5d</x:v>
      </x:c>
      <x:c r="B9" s="24" t="str">
        <x:v>The Value of Saving Money</x:v>
      </x:c>
      <x:c r="C9" s="24" t="str">
        <x:v>Deactivate</x:v>
      </x:c>
      <x:c r="D9" s="24" t="str">
        <x:v>Generic school-essay template</x:v>
      </x:c>
    </x:row>
    <x:row r="10" ht="42" customHeight="1">
      <x:c r="A10" s="24" t="str">
        <x:v>f0c7ba6a-07e9-4efb-8289-845f36f6f56f</x:v>
      </x:c>
      <x:c r="B10" s="24" t="str">
        <x:v>Why Exercise Is Important for a Healthy Life</x:v>
      </x:c>
      <x:c r="C10" s="24" t="str">
        <x:v>Deactivate</x:v>
      </x:c>
      <x:c r="D10" s="24" t="str">
        <x:v>Generic school-essay template</x:v>
      </x:c>
    </x:row>
  </x:sheetData>
  <x:pageMargins left="0.7" right="0.7" top="0.75" bottom="0.75" header="0.3" footer="0.3"/>
  <x:tableParts count="1">
    <x:tablePart xmlns:r="http://schemas.openxmlformats.org/officeDocument/2006/relationships" r:id="Rbce0b59e02384838"/>
  </x:tableParts>
</x:worksheet>
</file>